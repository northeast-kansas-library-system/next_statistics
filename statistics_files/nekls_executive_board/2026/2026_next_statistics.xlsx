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nekls_executive_board\2026\"/>
    </mc:Choice>
  </mc:AlternateContent>
  <xr:revisionPtr revIDLastSave="0" documentId="13_ncr:1_{311A5341-B8A0-4D63-B1F4-B5C1747D2A03}" xr6:coauthVersionLast="47" xr6:coauthVersionMax="47" xr10:uidLastSave="{00000000-0000-0000-0000-000000000000}"/>
  <bookViews>
    <workbookView xWindow="28680" yWindow="-120" windowWidth="29040" windowHeight="15720" tabRatio="740" xr2:uid="{00000000-000D-0000-FFFF-FFFF00000000}"/>
  </bookViews>
  <sheets>
    <sheet name="Annual totals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definedNames>
    <definedName name="_xlnm._FilterDatabase" localSheetId="0" hidden="1">'Annual totals'!$A$2:$D$2</definedName>
    <definedName name="_xlnm._FilterDatabase" localSheetId="4" hidden="1">April!$A$2:$D$2</definedName>
    <definedName name="_xlnm._FilterDatabase" localSheetId="8" hidden="1">August!$A$2:$D$2</definedName>
    <definedName name="_xlnm._FilterDatabase" localSheetId="12" hidden="1">December!$A$2:$D$2</definedName>
    <definedName name="_xlnm._FilterDatabase" localSheetId="2" hidden="1">February!$A$2:$D$2</definedName>
    <definedName name="_xlnm._FilterDatabase" localSheetId="1" hidden="1">January!$A$2:$D$2</definedName>
    <definedName name="_xlnm._FilterDatabase" localSheetId="7" hidden="1">July!$A$2:$D$2</definedName>
    <definedName name="_xlnm._FilterDatabase" localSheetId="6" hidden="1">June!$A$2:$D$2</definedName>
    <definedName name="_xlnm._FilterDatabase" localSheetId="3" hidden="1">March!$A$2:$D$2</definedName>
    <definedName name="_xlnm._FilterDatabase" localSheetId="5" hidden="1">May!$A$2:$D$2</definedName>
    <definedName name="_xlnm._FilterDatabase" localSheetId="11" hidden="1">November!$A$2:$D$2</definedName>
    <definedName name="_xlnm._FilterDatabase" localSheetId="10" hidden="1">October!$A$2:$D$2</definedName>
    <definedName name="_xlnm._FilterDatabase" localSheetId="9" hidden="1">September!$A$2:$D$2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B3" i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</calcChain>
</file>

<file path=xl/sharedStrings.xml><?xml version="1.0" encoding="utf-8"?>
<sst xmlns="http://schemas.openxmlformats.org/spreadsheetml/2006/main" count="807" uniqueCount="62">
  <si>
    <t>Library</t>
  </si>
  <si>
    <t>Circulation</t>
  </si>
  <si>
    <t>ILL loans</t>
  </si>
  <si>
    <t>ILL borrows</t>
  </si>
  <si>
    <t>Next statistics</t>
  </si>
  <si>
    <t>through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</si>
  <si>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</si>
  <si>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</si>
  <si>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</si>
  <si>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</si>
  <si>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</si>
  <si>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</si>
  <si>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</si>
  <si>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</si>
  <si>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</si>
  <si>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</si>
  <si>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</si>
  <si>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</si>
  <si>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</si>
  <si>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</si>
  <si>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</si>
  <si>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</si>
  <si>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</si>
  <si>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</si>
  <si>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</si>
  <si>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</si>
  <si>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</si>
  <si>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</si>
  <si>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</si>
  <si>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</si>
  <si>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</si>
  <si>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</si>
  <si>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</si>
  <si>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</si>
  <si>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</si>
  <si>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</si>
  <si>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</si>
  <si>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</si>
  <si>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</si>
  <si>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</si>
  <si>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</si>
  <si>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</si>
  <si>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</si>
  <si>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</si>
  <si>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</si>
  <si>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</si>
  <si>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</si>
  <si>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Pomona Community Library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</si>
  <si>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</si>
  <si>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</si>
  <si>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</si>
  <si>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</si>
  <si>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</si>
  <si>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</si>
  <si>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</si>
  <si>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</si>
  <si>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</si>
  <si>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</si>
  <si>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</si>
  <si>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Total</t>
  </si>
  <si>
    <t>Prairie Hills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</si>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</sst>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/dd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 vertical="center"/>
    </xf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6" borderId="10" xfId="0" applyFill="1" applyBorder="1"/>
    <xf numFmtId="0" fontId="0" fillId="0" borderId="10" xfId="0" applyBorder="1" applyAlignment="1">
      <alignment horizontal="right" vertical="center"/>
    </xf>
    <xf numFmtId="0" fontId="0" fillId="33" borderId="10" xfId="0" applyFill="1" applyBorder="1" applyAlignment="1">
      <alignment horizontal="right" vertical="center"/>
    </xf>
    <xf numFmtId="0" fontId="0" fillId="35" borderId="10" xfId="0" applyFill="1" applyBorder="1" applyAlignment="1">
      <alignment horizontal="right" vertical="center"/>
    </xf>
    <xf numFmtId="0" fontId="0" fillId="34" borderId="10" xfId="0" applyFill="1" applyBorder="1" applyAlignment="1">
      <alignment horizontal="right" vertical="center"/>
    </xf>
    <xf numFmtId="0" fontId="0" fillId="39" borderId="10" xfId="0" applyFill="1" applyBorder="1" applyAlignment="1">
      <alignment horizontal="right" vertical="center"/>
    </xf>
    <xf numFmtId="0" fontId="0" fillId="40" borderId="10" xfId="0" applyFill="1" applyBorder="1" applyAlignment="1">
      <alignment horizontal="right" vertical="center"/>
    </xf>
    <xf numFmtId="0" fontId="0" fillId="36" borderId="10" xfId="0" applyFill="1" applyBorder="1" applyAlignment="1">
      <alignment horizontal="right" vertical="center"/>
    </xf>
    <xf numFmtId="0" fontId="0" fillId="38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/>
    </xf>
    <xf numFmtId="0" fontId="0" fillId="37" borderId="11" xfId="0" applyFill="1" applyBorder="1" applyAlignment="1">
      <alignment horizontal="center" vertical="center"/>
    </xf>
    <xf numFmtId="164" fontId="0" fillId="37" borderId="12" xfId="0" applyNumberFormat="1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164" fontId="0" fillId="37" borderId="13" xfId="0" applyNumberFormat="1" applyFill="1" applyBorder="1" applyAlignment="1">
      <alignment horizontal="center"/>
    </xf>
    <xf numFmtId="165" fontId="0" fillId="38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7">
    <dxf>
      <font>
        <color theme="9" tint="0.59996337778862885"/>
      </font>
    </dxf>
    <dxf>
      <font>
        <color theme="5" tint="0.59996337778862885"/>
      </font>
    </dxf>
    <dxf>
      <font>
        <color theme="5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46023</v>
      </c>
      <c r="C1" s="20" t="s">
        <v>5</v>
      </c>
      <c r="D1" s="21">
        <f>MAX(January:December!D1)</f>
        <v>46295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f>SUM(January:December!B3)</f>
        <v>53543</v>
      </c>
      <c r="C3" s="3">
        <f>SUM(January:December!C3)</f>
        <v>7534</v>
      </c>
      <c r="D3" s="3">
        <f>SUM(January:December!D3)</f>
        <v>9539</v>
      </c>
    </row>
    <row r="4" spans="1:4" x14ac:dyDescent="0.3">
      <c r="A4" s="9" t="s">
        <v>7</v>
      </c>
      <c r="B4" s="2">
        <f>SUM(January:December!B4)</f>
        <v>31305</v>
      </c>
      <c r="C4" s="2">
        <f>SUM(January:December!C4)</f>
        <v>2532</v>
      </c>
      <c r="D4" s="2">
        <f>SUM(January:December!D4)</f>
        <v>4464</v>
      </c>
    </row>
    <row r="5" spans="1:4" x14ac:dyDescent="0.3">
      <c r="A5" s="10" t="s">
        <v>8</v>
      </c>
      <c r="B5" s="3">
        <f>SUM(January:December!B5)</f>
        <v>81070</v>
      </c>
      <c r="C5" s="3">
        <f>SUM(January:December!C5)</f>
        <v>7455</v>
      </c>
      <c r="D5" s="3">
        <f>SUM(January:December!D5)</f>
        <v>7305</v>
      </c>
    </row>
    <row r="6" spans="1:4" x14ac:dyDescent="0.3">
      <c r="A6" s="9" t="s">
        <v>9</v>
      </c>
      <c r="B6" s="2">
        <f>SUM(January:December!B6)</f>
        <v>1560</v>
      </c>
      <c r="C6" s="2">
        <f>SUM(January:December!C6)</f>
        <v>722</v>
      </c>
      <c r="D6" s="2">
        <f>SUM(January:December!D6)</f>
        <v>127</v>
      </c>
    </row>
    <row r="7" spans="1:4" x14ac:dyDescent="0.3">
      <c r="A7" s="10" t="s">
        <v>10</v>
      </c>
      <c r="B7" s="3">
        <f>SUM(January:December!B7)</f>
        <v>57916</v>
      </c>
      <c r="C7" s="3">
        <f>SUM(January:December!C7)</f>
        <v>7308</v>
      </c>
      <c r="D7" s="3">
        <f>SUM(January:December!D7)</f>
        <v>6484</v>
      </c>
    </row>
    <row r="8" spans="1:4" x14ac:dyDescent="0.3">
      <c r="A8" s="9" t="s">
        <v>11</v>
      </c>
      <c r="B8" s="2">
        <f>SUM(January:December!B8)</f>
        <v>7989</v>
      </c>
      <c r="C8" s="2">
        <f>SUM(January:December!C8)</f>
        <v>1234</v>
      </c>
      <c r="D8" s="2">
        <f>SUM(January:December!D8)</f>
        <v>1479</v>
      </c>
    </row>
    <row r="9" spans="1:4" x14ac:dyDescent="0.3">
      <c r="A9" s="10" t="s">
        <v>12</v>
      </c>
      <c r="B9" s="3">
        <f>SUM(January:December!B9)</f>
        <v>4716</v>
      </c>
      <c r="C9" s="3">
        <f>SUM(January:December!C9)</f>
        <v>1118</v>
      </c>
      <c r="D9" s="3">
        <f>SUM(January:December!D9)</f>
        <v>912</v>
      </c>
    </row>
    <row r="10" spans="1:4" x14ac:dyDescent="0.3">
      <c r="A10" s="9" t="s">
        <v>13</v>
      </c>
      <c r="B10" s="2">
        <f>SUM(January:December!B10)</f>
        <v>2775</v>
      </c>
      <c r="C10" s="2">
        <f>SUM(January:December!C10)</f>
        <v>363</v>
      </c>
      <c r="D10" s="2">
        <f>SUM(January:December!D10)</f>
        <v>205</v>
      </c>
    </row>
    <row r="11" spans="1:4" x14ac:dyDescent="0.3">
      <c r="A11" s="10" t="s">
        <v>14</v>
      </c>
      <c r="B11" s="3">
        <f>SUM(January:December!B11)</f>
        <v>474</v>
      </c>
      <c r="C11" s="3">
        <f>SUM(January:December!C11)</f>
        <v>156</v>
      </c>
      <c r="D11" s="3">
        <f>SUM(January:December!D11)</f>
        <v>0</v>
      </c>
    </row>
    <row r="12" spans="1:4" x14ac:dyDescent="0.3">
      <c r="A12" s="9" t="s">
        <v>15</v>
      </c>
      <c r="B12" s="2">
        <f>SUM(January:December!B12)</f>
        <v>0</v>
      </c>
      <c r="C12" s="2">
        <f>SUM(January:December!C12)</f>
        <v>0</v>
      </c>
      <c r="D12" s="2">
        <f>SUM(January:December!D12)</f>
        <v>0</v>
      </c>
    </row>
    <row r="13" spans="1:4" x14ac:dyDescent="0.3">
      <c r="A13" s="11" t="s">
        <v>16</v>
      </c>
      <c r="B13" s="4">
        <f>SUM(January:December!B13)</f>
        <v>374</v>
      </c>
      <c r="C13" s="4">
        <f>SUM(January:December!C13)</f>
        <v>343</v>
      </c>
      <c r="D13" s="4">
        <f>SUM(January:December!D13)</f>
        <v>44</v>
      </c>
    </row>
    <row r="14" spans="1:4" x14ac:dyDescent="0.3">
      <c r="A14" s="12" t="s">
        <v>17</v>
      </c>
      <c r="B14" s="5">
        <f>SUM(January:December!B14)</f>
        <v>1541</v>
      </c>
      <c r="C14" s="5">
        <f>SUM(January:December!C14)</f>
        <v>937</v>
      </c>
      <c r="D14" s="5">
        <f>SUM(January:December!D14)</f>
        <v>414</v>
      </c>
    </row>
    <row r="15" spans="1:4" x14ac:dyDescent="0.3">
      <c r="A15" s="11" t="s">
        <v>18</v>
      </c>
      <c r="B15" s="4">
        <f>SUM(January:December!B15)</f>
        <v>6530</v>
      </c>
      <c r="C15" s="4">
        <f>SUM(January:December!C15)</f>
        <v>2071</v>
      </c>
      <c r="D15" s="4">
        <f>SUM(January:December!D15)</f>
        <v>1140</v>
      </c>
    </row>
    <row r="16" spans="1:4" x14ac:dyDescent="0.3">
      <c r="A16" s="12" t="s">
        <v>19</v>
      </c>
      <c r="B16" s="5">
        <f>SUM(January:December!B16)</f>
        <v>2845</v>
      </c>
      <c r="C16" s="5">
        <f>SUM(January:December!C16)</f>
        <v>2120</v>
      </c>
      <c r="D16" s="5">
        <f>SUM(January:December!D16)</f>
        <v>476</v>
      </c>
    </row>
    <row r="17" spans="1:4" x14ac:dyDescent="0.3">
      <c r="A17" s="10" t="s">
        <v>20</v>
      </c>
      <c r="B17" s="3">
        <f>SUM(January:December!B17)</f>
        <v>2787</v>
      </c>
      <c r="C17" s="3">
        <f>SUM(January:December!C17)</f>
        <v>1174</v>
      </c>
      <c r="D17" s="3">
        <f>SUM(January:December!D17)</f>
        <v>433</v>
      </c>
    </row>
    <row r="18" spans="1:4" x14ac:dyDescent="0.3">
      <c r="A18" s="9" t="s">
        <v>21</v>
      </c>
      <c r="B18" s="2">
        <f>SUM(January:December!B18)</f>
        <v>18705</v>
      </c>
      <c r="C18" s="2">
        <f>SUM(January:December!C18)</f>
        <v>2974</v>
      </c>
      <c r="D18" s="2">
        <f>SUM(January:December!D18)</f>
        <v>4313</v>
      </c>
    </row>
    <row r="19" spans="1:4" x14ac:dyDescent="0.3">
      <c r="A19" s="10" t="s">
        <v>22</v>
      </c>
      <c r="B19" s="3">
        <f>SUM(January:December!B19)</f>
        <v>1637</v>
      </c>
      <c r="C19" s="3">
        <f>SUM(January:December!C19)</f>
        <v>661</v>
      </c>
      <c r="D19" s="3">
        <f>SUM(January:December!D19)</f>
        <v>412</v>
      </c>
    </row>
    <row r="20" spans="1:4" x14ac:dyDescent="0.3">
      <c r="A20" s="9" t="s">
        <v>23</v>
      </c>
      <c r="B20" s="2">
        <f>SUM(January:December!B20)</f>
        <v>20421</v>
      </c>
      <c r="C20" s="2">
        <f>SUM(January:December!C20)</f>
        <v>2092</v>
      </c>
      <c r="D20" s="2">
        <f>SUM(January:December!D20)</f>
        <v>3314</v>
      </c>
    </row>
    <row r="21" spans="1:4" x14ac:dyDescent="0.3">
      <c r="A21" s="10" t="s">
        <v>24</v>
      </c>
      <c r="B21" s="3">
        <f>SUM(January:December!B21)</f>
        <v>227</v>
      </c>
      <c r="C21" s="3">
        <f>SUM(January:December!C21)</f>
        <v>296</v>
      </c>
      <c r="D21" s="3">
        <f>SUM(January:December!D21)</f>
        <v>20</v>
      </c>
    </row>
    <row r="22" spans="1:4" x14ac:dyDescent="0.3">
      <c r="A22" s="9" t="s">
        <v>25</v>
      </c>
      <c r="B22" s="2">
        <f>SUM(January:December!B22)</f>
        <v>19079</v>
      </c>
      <c r="C22" s="2">
        <f>SUM(January:December!C22)</f>
        <v>2830</v>
      </c>
      <c r="D22" s="2">
        <f>SUM(January:December!D22)</f>
        <v>3767</v>
      </c>
    </row>
    <row r="23" spans="1:4" x14ac:dyDescent="0.3">
      <c r="A23" s="10" t="s">
        <v>26</v>
      </c>
      <c r="B23" s="3">
        <f>SUM(January:December!B23)</f>
        <v>3315</v>
      </c>
      <c r="C23" s="3">
        <f>SUM(January:December!C23)</f>
        <v>1612</v>
      </c>
      <c r="D23" s="3">
        <f>SUM(January:December!D23)</f>
        <v>568</v>
      </c>
    </row>
    <row r="24" spans="1:4" x14ac:dyDescent="0.3">
      <c r="A24" s="9" t="s">
        <v>27</v>
      </c>
      <c r="B24" s="2">
        <f>SUM(January:December!B24)</f>
        <v>26424</v>
      </c>
      <c r="C24" s="2">
        <f>SUM(January:December!C24)</f>
        <v>3807</v>
      </c>
      <c r="D24" s="2">
        <f>SUM(January:December!D24)</f>
        <v>4655</v>
      </c>
    </row>
    <row r="25" spans="1:4" x14ac:dyDescent="0.3">
      <c r="A25" s="10" t="s">
        <v>28</v>
      </c>
      <c r="B25" s="3">
        <f>SUM(January:December!B25)</f>
        <v>113527</v>
      </c>
      <c r="C25" s="3">
        <f>SUM(January:December!C25)</f>
        <v>9314</v>
      </c>
      <c r="D25" s="3">
        <f>SUM(January:December!D25)</f>
        <v>11748</v>
      </c>
    </row>
    <row r="26" spans="1:4" x14ac:dyDescent="0.3">
      <c r="A26" s="9" t="s">
        <v>29</v>
      </c>
      <c r="B26" s="2">
        <f>SUM(January:December!B26)</f>
        <v>5609</v>
      </c>
      <c r="C26" s="2">
        <f>SUM(January:December!C26)</f>
        <v>2234</v>
      </c>
      <c r="D26" s="2">
        <f>SUM(January:December!D26)</f>
        <v>1088</v>
      </c>
    </row>
    <row r="27" spans="1:4" x14ac:dyDescent="0.3">
      <c r="A27" s="10" t="s">
        <v>30</v>
      </c>
      <c r="B27" s="3">
        <f>SUM(January:December!B27)</f>
        <v>0</v>
      </c>
      <c r="C27" s="3">
        <f>SUM(January:December!C27)</f>
        <v>0</v>
      </c>
      <c r="D27" s="3">
        <f>SUM(January:December!D27)</f>
        <v>0</v>
      </c>
    </row>
    <row r="28" spans="1:4" x14ac:dyDescent="0.3">
      <c r="A28" s="9" t="s">
        <v>31</v>
      </c>
      <c r="B28" s="2">
        <f>SUM(January:December!B28)</f>
        <v>5674</v>
      </c>
      <c r="C28" s="2">
        <f>SUM(January:December!C28)</f>
        <v>1262</v>
      </c>
      <c r="D28" s="2">
        <f>SUM(January:December!D28)</f>
        <v>1274</v>
      </c>
    </row>
    <row r="29" spans="1:4" x14ac:dyDescent="0.3">
      <c r="A29" s="10" t="s">
        <v>32</v>
      </c>
      <c r="B29" s="3">
        <f>SUM(January:December!B29)</f>
        <v>4658</v>
      </c>
      <c r="C29" s="3">
        <f>SUM(January:December!C29)</f>
        <v>776</v>
      </c>
      <c r="D29" s="3">
        <f>SUM(January:December!D29)</f>
        <v>1172</v>
      </c>
    </row>
    <row r="30" spans="1:4" x14ac:dyDescent="0.3">
      <c r="A30" s="9" t="s">
        <v>33</v>
      </c>
      <c r="B30" s="2">
        <f>SUM(January:December!B30)</f>
        <v>25650</v>
      </c>
      <c r="C30" s="2">
        <f>SUM(January:December!C30)</f>
        <v>3209</v>
      </c>
      <c r="D30" s="2">
        <f>SUM(January:December!D30)</f>
        <v>4652</v>
      </c>
    </row>
    <row r="31" spans="1:4" x14ac:dyDescent="0.3">
      <c r="A31" s="10" t="s">
        <v>34</v>
      </c>
      <c r="B31" s="3">
        <f>SUM(January:December!B31)</f>
        <v>440</v>
      </c>
      <c r="C31" s="3">
        <f>SUM(January:December!C31)</f>
        <v>171</v>
      </c>
      <c r="D31" s="3">
        <f>SUM(January:December!D31)</f>
        <v>212</v>
      </c>
    </row>
    <row r="32" spans="1:4" x14ac:dyDescent="0.3">
      <c r="A32" s="9" t="s">
        <v>35</v>
      </c>
      <c r="B32" s="2">
        <f>SUM(January:December!B32)</f>
        <v>3377</v>
      </c>
      <c r="C32" s="2">
        <f>SUM(January:December!C32)</f>
        <v>1972</v>
      </c>
      <c r="D32" s="2">
        <f>SUM(January:December!D32)</f>
        <v>604</v>
      </c>
    </row>
    <row r="33" spans="1:4" x14ac:dyDescent="0.3">
      <c r="A33" s="10" t="s">
        <v>36</v>
      </c>
      <c r="B33" s="3">
        <f>SUM(January:December!B33)</f>
        <v>16200</v>
      </c>
      <c r="C33" s="3">
        <f>SUM(January:December!C33)</f>
        <v>3708</v>
      </c>
      <c r="D33" s="3">
        <f>SUM(January:December!D33)</f>
        <v>3224</v>
      </c>
    </row>
    <row r="34" spans="1:4" x14ac:dyDescent="0.3">
      <c r="A34" s="9" t="s">
        <v>37</v>
      </c>
      <c r="B34" s="2">
        <f>SUM(January:December!B34)</f>
        <v>11527</v>
      </c>
      <c r="C34" s="2">
        <f>SUM(January:December!C34)</f>
        <v>2289</v>
      </c>
      <c r="D34" s="2">
        <f>SUM(January:December!D34)</f>
        <v>2212</v>
      </c>
    </row>
    <row r="35" spans="1:4" x14ac:dyDescent="0.3">
      <c r="A35" s="10" t="s">
        <v>38</v>
      </c>
      <c r="B35" s="3">
        <f>SUM(January:December!B35)</f>
        <v>5661</v>
      </c>
      <c r="C35" s="3">
        <f>SUM(January:December!C35)</f>
        <v>726</v>
      </c>
      <c r="D35" s="3">
        <f>SUM(January:December!D35)</f>
        <v>943</v>
      </c>
    </row>
    <row r="36" spans="1:4" x14ac:dyDescent="0.3">
      <c r="A36" s="9" t="s">
        <v>39</v>
      </c>
      <c r="B36" s="2">
        <f>SUM(January:December!B36)</f>
        <v>60624</v>
      </c>
      <c r="C36" s="2">
        <f>SUM(January:December!C36)</f>
        <v>10533</v>
      </c>
      <c r="D36" s="2">
        <f>SUM(January:December!D36)</f>
        <v>7845</v>
      </c>
    </row>
    <row r="37" spans="1:4" x14ac:dyDescent="0.3">
      <c r="A37" s="10" t="s">
        <v>40</v>
      </c>
      <c r="B37" s="3">
        <f>SUM(January:December!B37)</f>
        <v>8447</v>
      </c>
      <c r="C37" s="3">
        <f>SUM(January:December!C37)</f>
        <v>3945</v>
      </c>
      <c r="D37" s="3">
        <f>SUM(January:December!D37)</f>
        <v>1203</v>
      </c>
    </row>
    <row r="38" spans="1:4" x14ac:dyDescent="0.3">
      <c r="A38" s="9" t="s">
        <v>41</v>
      </c>
      <c r="B38" s="2">
        <f>SUM(January:December!B38)</f>
        <v>35459</v>
      </c>
      <c r="C38" s="2">
        <f>SUM(January:December!C38)</f>
        <v>2450</v>
      </c>
      <c r="D38" s="2">
        <f>SUM(January:December!D38)</f>
        <v>3838</v>
      </c>
    </row>
    <row r="39" spans="1:4" x14ac:dyDescent="0.3">
      <c r="A39" s="10" t="s">
        <v>42</v>
      </c>
      <c r="B39" s="3">
        <f>SUM(January:December!B39)</f>
        <v>2861</v>
      </c>
      <c r="C39" s="3">
        <f>SUM(January:December!C39)</f>
        <v>1305</v>
      </c>
      <c r="D39" s="3">
        <f>SUM(January:December!D39)</f>
        <v>322</v>
      </c>
    </row>
    <row r="40" spans="1:4" x14ac:dyDescent="0.3">
      <c r="A40" s="13" t="s">
        <v>43</v>
      </c>
      <c r="B40" s="6">
        <f>SUM(January:December!B40)</f>
        <v>3229</v>
      </c>
      <c r="C40" s="6">
        <f>SUM(January:December!C40)</f>
        <v>471</v>
      </c>
      <c r="D40" s="6">
        <f>SUM(January:December!D40)</f>
        <v>76</v>
      </c>
    </row>
    <row r="41" spans="1:4" x14ac:dyDescent="0.3">
      <c r="A41" s="14" t="s">
        <v>44</v>
      </c>
      <c r="B41" s="7">
        <f>SUM(January:December!B41)</f>
        <v>12796</v>
      </c>
      <c r="C41" s="7">
        <f>SUM(January:December!C41)</f>
        <v>668</v>
      </c>
      <c r="D41" s="7">
        <f>SUM(January:December!D41)</f>
        <v>487</v>
      </c>
    </row>
    <row r="42" spans="1:4" x14ac:dyDescent="0.3">
      <c r="A42" s="13" t="s">
        <v>45</v>
      </c>
      <c r="B42" s="6">
        <f>SUM(January:December!B42)</f>
        <v>254</v>
      </c>
      <c r="C42" s="6">
        <f>SUM(January:December!C42)</f>
        <v>126</v>
      </c>
      <c r="D42" s="6">
        <f>SUM(January:December!D42)</f>
        <v>33</v>
      </c>
    </row>
    <row r="43" spans="1:4" x14ac:dyDescent="0.3">
      <c r="A43" s="14" t="s">
        <v>46</v>
      </c>
      <c r="B43" s="7">
        <f>SUM(January:December!B43)</f>
        <v>1929</v>
      </c>
      <c r="C43" s="7">
        <f>SUM(January:December!C43)</f>
        <v>183</v>
      </c>
      <c r="D43" s="7">
        <f>SUM(January:December!D43)</f>
        <v>98</v>
      </c>
    </row>
    <row r="44" spans="1:4" x14ac:dyDescent="0.3">
      <c r="A44" s="9" t="s">
        <v>47</v>
      </c>
      <c r="B44" s="2">
        <f>SUM(January:December!B44)</f>
        <v>2060</v>
      </c>
      <c r="C44" s="2">
        <f>SUM(January:December!C44)</f>
        <v>654</v>
      </c>
      <c r="D44" s="2">
        <f>SUM(January:December!D44)</f>
        <v>1141</v>
      </c>
    </row>
    <row r="45" spans="1:4" x14ac:dyDescent="0.3">
      <c r="A45" s="10" t="s">
        <v>48</v>
      </c>
      <c r="B45" s="3">
        <f>SUM(January:December!B45)</f>
        <v>3544</v>
      </c>
      <c r="C45" s="3">
        <f>SUM(January:December!C45)</f>
        <v>1382</v>
      </c>
      <c r="D45" s="3">
        <f>SUM(January:December!D45)</f>
        <v>346</v>
      </c>
    </row>
    <row r="46" spans="1:4" x14ac:dyDescent="0.3">
      <c r="A46" s="9" t="s">
        <v>49</v>
      </c>
      <c r="B46" s="2">
        <f>SUM(January:December!B46)</f>
        <v>18213</v>
      </c>
      <c r="C46" s="2">
        <f>SUM(January:December!C46)</f>
        <v>4106</v>
      </c>
      <c r="D46" s="2">
        <f>SUM(January:December!D46)</f>
        <v>3518</v>
      </c>
    </row>
    <row r="47" spans="1:4" x14ac:dyDescent="0.3">
      <c r="A47" s="10" t="s">
        <v>50</v>
      </c>
      <c r="B47" s="3">
        <f>SUM(January:December!B47)</f>
        <v>36649</v>
      </c>
      <c r="C47" s="3">
        <f>SUM(January:December!C47)</f>
        <v>4610</v>
      </c>
      <c r="D47" s="3">
        <f>SUM(January:December!D47)</f>
        <v>5040</v>
      </c>
    </row>
    <row r="48" spans="1:4" x14ac:dyDescent="0.3">
      <c r="A48" s="9" t="s">
        <v>51</v>
      </c>
      <c r="B48" s="2">
        <f>SUM(January:December!B48)</f>
        <v>16189</v>
      </c>
      <c r="C48" s="2">
        <f>SUM(January:December!C48)</f>
        <v>3837</v>
      </c>
      <c r="D48" s="2">
        <f>SUM(January:December!D48)</f>
        <v>1559</v>
      </c>
    </row>
    <row r="49" spans="1:4" x14ac:dyDescent="0.3">
      <c r="A49" s="10" t="s">
        <v>52</v>
      </c>
      <c r="B49" s="3">
        <f>SUM(January:December!B49)</f>
        <v>8785</v>
      </c>
      <c r="C49" s="3">
        <f>SUM(January:December!C49)</f>
        <v>1601</v>
      </c>
      <c r="D49" s="3">
        <f>SUM(January:December!D49)</f>
        <v>2168</v>
      </c>
    </row>
    <row r="50" spans="1:4" x14ac:dyDescent="0.3">
      <c r="A50" s="9" t="s">
        <v>53</v>
      </c>
      <c r="B50" s="2">
        <f>SUM(January:December!B50)</f>
        <v>38604</v>
      </c>
      <c r="C50" s="2">
        <f>SUM(January:December!C50)</f>
        <v>3743</v>
      </c>
      <c r="D50" s="2">
        <f>SUM(January:December!D50)</f>
        <v>5982</v>
      </c>
    </row>
    <row r="51" spans="1:4" x14ac:dyDescent="0.3">
      <c r="A51" s="10" t="s">
        <v>54</v>
      </c>
      <c r="B51" s="3">
        <f>SUM(January:December!B51)</f>
        <v>4445</v>
      </c>
      <c r="C51" s="3">
        <f>SUM(January:December!C51)</f>
        <v>1082</v>
      </c>
      <c r="D51" s="3">
        <f>SUM(January:December!D51)</f>
        <v>987</v>
      </c>
    </row>
    <row r="52" spans="1:4" x14ac:dyDescent="0.3">
      <c r="A52" s="9" t="s">
        <v>55</v>
      </c>
      <c r="B52" s="2">
        <f>SUM(January:December!B52)</f>
        <v>11337</v>
      </c>
      <c r="C52" s="2">
        <f>SUM(January:December!C52)</f>
        <v>2484</v>
      </c>
      <c r="D52" s="2">
        <f>SUM(January:December!D52)</f>
        <v>2828</v>
      </c>
    </row>
    <row r="53" spans="1:4" x14ac:dyDescent="0.3">
      <c r="A53" s="10" t="s">
        <v>56</v>
      </c>
      <c r="B53" s="3">
        <f>SUM(January:December!B53)</f>
        <v>1642</v>
      </c>
      <c r="C53" s="3">
        <f>SUM(January:December!C53)</f>
        <v>1549</v>
      </c>
      <c r="D53" s="3">
        <f>SUM(January:December!D53)</f>
        <v>624</v>
      </c>
    </row>
    <row r="54" spans="1:4" x14ac:dyDescent="0.3">
      <c r="A54" s="9" t="s">
        <v>57</v>
      </c>
      <c r="B54" s="2">
        <f>SUM(January:December!B54)</f>
        <v>1958</v>
      </c>
      <c r="C54" s="2">
        <f>SUM(January:December!C54)</f>
        <v>1605</v>
      </c>
      <c r="D54" s="2">
        <f>SUM(January:December!D54)</f>
        <v>192</v>
      </c>
    </row>
    <row r="55" spans="1:4" x14ac:dyDescent="0.3">
      <c r="A55" s="10" t="s">
        <v>58</v>
      </c>
      <c r="B55" s="3">
        <f>SUM(January:December!B55)</f>
        <v>6695</v>
      </c>
      <c r="C55" s="3">
        <f>SUM(January:December!C55)</f>
        <v>1478</v>
      </c>
      <c r="D55" s="3">
        <f>SUM(January:December!D55)</f>
        <v>2777</v>
      </c>
    </row>
    <row r="56" spans="1:4" x14ac:dyDescent="0.3">
      <c r="A56" s="11" t="s">
        <v>59</v>
      </c>
      <c r="B56" s="4">
        <f>SUM(January:December!B56)</f>
        <v>11290</v>
      </c>
      <c r="C56" s="4">
        <f>SUM(January:December!C56)</f>
        <v>5028</v>
      </c>
      <c r="D56" s="4">
        <f>SUM(January:December!D56)</f>
        <v>1698</v>
      </c>
    </row>
    <row r="57" spans="1:4" x14ac:dyDescent="0.3">
      <c r="A57" s="14" t="s">
        <v>60</v>
      </c>
      <c r="B57" s="7">
        <f>SUM(January:December!B57)</f>
        <v>18208</v>
      </c>
      <c r="C57" s="7">
        <f>SUM(January:December!C57)</f>
        <v>1327</v>
      </c>
      <c r="D57" s="7">
        <f>SUM(January:December!D57)</f>
        <v>573</v>
      </c>
    </row>
    <row r="58" spans="1:4" x14ac:dyDescent="0.3">
      <c r="A58" s="15" t="s">
        <v>61</v>
      </c>
      <c r="B58" s="8">
        <f>SUM(January:December!B58)</f>
        <v>813276</v>
      </c>
      <c r="C58" s="8">
        <f>SUM(January:December!C58)</f>
        <v>122812</v>
      </c>
      <c r="D58" s="8">
        <f>SUM(January:December!D58)</f>
        <v>118264</v>
      </c>
    </row>
  </sheetData>
  <autoFilter ref="A2:D2" xr:uid="{00000000-0009-0000-0000-000000000000}"/>
  <conditionalFormatting sqref="B3">
    <cfRule type="cellIs" dxfId="96" priority="97" operator="equal">
      <formula>0</formula>
    </cfRule>
  </conditionalFormatting>
  <conditionalFormatting sqref="C3">
    <cfRule type="cellIs" dxfId="95" priority="96" operator="equal">
      <formula>0</formula>
    </cfRule>
  </conditionalFormatting>
  <conditionalFormatting sqref="D3">
    <cfRule type="cellIs" dxfId="94" priority="95" operator="equal">
      <formula>0</formula>
    </cfRule>
  </conditionalFormatting>
  <conditionalFormatting sqref="B5">
    <cfRule type="cellIs" dxfId="93" priority="94" operator="equal">
      <formula>0</formula>
    </cfRule>
  </conditionalFormatting>
  <conditionalFormatting sqref="C5">
    <cfRule type="cellIs" dxfId="92" priority="93" operator="equal">
      <formula>0</formula>
    </cfRule>
  </conditionalFormatting>
  <conditionalFormatting sqref="D5">
    <cfRule type="cellIs" dxfId="91" priority="92" operator="equal">
      <formula>0</formula>
    </cfRule>
  </conditionalFormatting>
  <conditionalFormatting sqref="B7">
    <cfRule type="cellIs" dxfId="90" priority="91" operator="equal">
      <formula>0</formula>
    </cfRule>
  </conditionalFormatting>
  <conditionalFormatting sqref="C7">
    <cfRule type="cellIs" dxfId="89" priority="90" operator="equal">
      <formula>0</formula>
    </cfRule>
  </conditionalFormatting>
  <conditionalFormatting sqref="D7">
    <cfRule type="cellIs" dxfId="88" priority="89" operator="equal">
      <formula>0</formula>
    </cfRule>
  </conditionalFormatting>
  <conditionalFormatting sqref="B9">
    <cfRule type="cellIs" dxfId="87" priority="88" operator="equal">
      <formula>0</formula>
    </cfRule>
  </conditionalFormatting>
  <conditionalFormatting sqref="C9">
    <cfRule type="cellIs" dxfId="86" priority="87" operator="equal">
      <formula>0</formula>
    </cfRule>
  </conditionalFormatting>
  <conditionalFormatting sqref="D9">
    <cfRule type="cellIs" dxfId="85" priority="86" operator="equal">
      <formula>0</formula>
    </cfRule>
  </conditionalFormatting>
  <conditionalFormatting sqref="B11">
    <cfRule type="cellIs" dxfId="84" priority="85" operator="equal">
      <formula>0</formula>
    </cfRule>
  </conditionalFormatting>
  <conditionalFormatting sqref="C11">
    <cfRule type="cellIs" dxfId="83" priority="84" operator="equal">
      <formula>0</formula>
    </cfRule>
  </conditionalFormatting>
  <conditionalFormatting sqref="D11">
    <cfRule type="cellIs" dxfId="82" priority="83" operator="equal">
      <formula>0</formula>
    </cfRule>
  </conditionalFormatting>
  <conditionalFormatting sqref="B17">
    <cfRule type="cellIs" dxfId="81" priority="82" operator="equal">
      <formula>0</formula>
    </cfRule>
  </conditionalFormatting>
  <conditionalFormatting sqref="C17">
    <cfRule type="cellIs" dxfId="80" priority="81" operator="equal">
      <formula>0</formula>
    </cfRule>
  </conditionalFormatting>
  <conditionalFormatting sqref="D17">
    <cfRule type="cellIs" dxfId="79" priority="80" operator="equal">
      <formula>0</formula>
    </cfRule>
  </conditionalFormatting>
  <conditionalFormatting sqref="B19">
    <cfRule type="cellIs" dxfId="78" priority="79" operator="equal">
      <formula>0</formula>
    </cfRule>
  </conditionalFormatting>
  <conditionalFormatting sqref="C19">
    <cfRule type="cellIs" dxfId="77" priority="78" operator="equal">
      <formula>0</formula>
    </cfRule>
  </conditionalFormatting>
  <conditionalFormatting sqref="D19">
    <cfRule type="cellIs" dxfId="76" priority="77" operator="equal">
      <formula>0</formula>
    </cfRule>
  </conditionalFormatting>
  <conditionalFormatting sqref="B21">
    <cfRule type="cellIs" dxfId="75" priority="76" operator="equal">
      <formula>0</formula>
    </cfRule>
  </conditionalFormatting>
  <conditionalFormatting sqref="C21">
    <cfRule type="cellIs" dxfId="74" priority="75" operator="equal">
      <formula>0</formula>
    </cfRule>
  </conditionalFormatting>
  <conditionalFormatting sqref="D21">
    <cfRule type="cellIs" dxfId="73" priority="74" operator="equal">
      <formula>0</formula>
    </cfRule>
  </conditionalFormatting>
  <conditionalFormatting sqref="B23">
    <cfRule type="cellIs" dxfId="72" priority="73" operator="equal">
      <formula>0</formula>
    </cfRule>
  </conditionalFormatting>
  <conditionalFormatting sqref="C23">
    <cfRule type="cellIs" dxfId="71" priority="72" operator="equal">
      <formula>0</formula>
    </cfRule>
  </conditionalFormatting>
  <conditionalFormatting sqref="D23">
    <cfRule type="cellIs" dxfId="70" priority="71" operator="equal">
      <formula>0</formula>
    </cfRule>
  </conditionalFormatting>
  <conditionalFormatting sqref="B25">
    <cfRule type="cellIs" dxfId="69" priority="70" operator="equal">
      <formula>0</formula>
    </cfRule>
  </conditionalFormatting>
  <conditionalFormatting sqref="C25">
    <cfRule type="cellIs" dxfId="68" priority="69" operator="equal">
      <formula>0</formula>
    </cfRule>
  </conditionalFormatting>
  <conditionalFormatting sqref="D25">
    <cfRule type="cellIs" dxfId="67" priority="68" operator="equal">
      <formula>0</formula>
    </cfRule>
  </conditionalFormatting>
  <conditionalFormatting sqref="B27">
    <cfRule type="cellIs" dxfId="66" priority="67" operator="equal">
      <formula>0</formula>
    </cfRule>
  </conditionalFormatting>
  <conditionalFormatting sqref="C27">
    <cfRule type="cellIs" dxfId="65" priority="66" operator="equal">
      <formula>0</formula>
    </cfRule>
  </conditionalFormatting>
  <conditionalFormatting sqref="D27">
    <cfRule type="cellIs" dxfId="64" priority="65" operator="equal">
      <formula>0</formula>
    </cfRule>
  </conditionalFormatting>
  <conditionalFormatting sqref="B29">
    <cfRule type="cellIs" dxfId="63" priority="64" operator="equal">
      <formula>0</formula>
    </cfRule>
  </conditionalFormatting>
  <conditionalFormatting sqref="C29">
    <cfRule type="cellIs" dxfId="62" priority="63" operator="equal">
      <formula>0</formula>
    </cfRule>
  </conditionalFormatting>
  <conditionalFormatting sqref="D29">
    <cfRule type="cellIs" dxfId="61" priority="62" operator="equal">
      <formula>0</formula>
    </cfRule>
  </conditionalFormatting>
  <conditionalFormatting sqref="B31">
    <cfRule type="cellIs" dxfId="60" priority="61" operator="equal">
      <formula>0</formula>
    </cfRule>
  </conditionalFormatting>
  <conditionalFormatting sqref="C31">
    <cfRule type="cellIs" dxfId="59" priority="60" operator="equal">
      <formula>0</formula>
    </cfRule>
  </conditionalFormatting>
  <conditionalFormatting sqref="D31">
    <cfRule type="cellIs" dxfId="58" priority="59" operator="equal">
      <formula>0</formula>
    </cfRule>
  </conditionalFormatting>
  <conditionalFormatting sqref="B33">
    <cfRule type="cellIs" dxfId="57" priority="58" operator="equal">
      <formula>0</formula>
    </cfRule>
  </conditionalFormatting>
  <conditionalFormatting sqref="C33">
    <cfRule type="cellIs" dxfId="56" priority="57" operator="equal">
      <formula>0</formula>
    </cfRule>
  </conditionalFormatting>
  <conditionalFormatting sqref="D33">
    <cfRule type="cellIs" dxfId="55" priority="56" operator="equal">
      <formula>0</formula>
    </cfRule>
  </conditionalFormatting>
  <conditionalFormatting sqref="B35">
    <cfRule type="cellIs" dxfId="54" priority="55" operator="equal">
      <formula>0</formula>
    </cfRule>
  </conditionalFormatting>
  <conditionalFormatting sqref="C35">
    <cfRule type="cellIs" dxfId="53" priority="54" operator="equal">
      <formula>0</formula>
    </cfRule>
  </conditionalFormatting>
  <conditionalFormatting sqref="D35">
    <cfRule type="cellIs" dxfId="52" priority="53" operator="equal">
      <formula>0</formula>
    </cfRule>
  </conditionalFormatting>
  <conditionalFormatting sqref="B37">
    <cfRule type="cellIs" dxfId="51" priority="52" operator="equal">
      <formula>0</formula>
    </cfRule>
  </conditionalFormatting>
  <conditionalFormatting sqref="C37">
    <cfRule type="cellIs" dxfId="50" priority="51" operator="equal">
      <formula>0</formula>
    </cfRule>
  </conditionalFormatting>
  <conditionalFormatting sqref="D37">
    <cfRule type="cellIs" dxfId="49" priority="50" operator="equal">
      <formula>0</formula>
    </cfRule>
  </conditionalFormatting>
  <conditionalFormatting sqref="B39">
    <cfRule type="cellIs" dxfId="48" priority="49" operator="equal">
      <formula>0</formula>
    </cfRule>
  </conditionalFormatting>
  <conditionalFormatting sqref="C39">
    <cfRule type="cellIs" dxfId="47" priority="48" operator="equal">
      <formula>0</formula>
    </cfRule>
  </conditionalFormatting>
  <conditionalFormatting sqref="D39">
    <cfRule type="cellIs" dxfId="46" priority="47" operator="equal">
      <formula>0</formula>
    </cfRule>
  </conditionalFormatting>
  <conditionalFormatting sqref="B45">
    <cfRule type="cellIs" dxfId="45" priority="46" operator="equal">
      <formula>0</formula>
    </cfRule>
  </conditionalFormatting>
  <conditionalFormatting sqref="C45">
    <cfRule type="cellIs" dxfId="44" priority="45" operator="equal">
      <formula>0</formula>
    </cfRule>
  </conditionalFormatting>
  <conditionalFormatting sqref="D45">
    <cfRule type="cellIs" dxfId="43" priority="44" operator="equal">
      <formula>0</formula>
    </cfRule>
  </conditionalFormatting>
  <conditionalFormatting sqref="B47">
    <cfRule type="cellIs" dxfId="42" priority="43" operator="equal">
      <formula>0</formula>
    </cfRule>
  </conditionalFormatting>
  <conditionalFormatting sqref="C47">
    <cfRule type="cellIs" dxfId="41" priority="42" operator="equal">
      <formula>0</formula>
    </cfRule>
  </conditionalFormatting>
  <conditionalFormatting sqref="D47">
    <cfRule type="cellIs" dxfId="40" priority="41" operator="equal">
      <formula>0</formula>
    </cfRule>
  </conditionalFormatting>
  <conditionalFormatting sqref="B49">
    <cfRule type="cellIs" dxfId="39" priority="40" operator="equal">
      <formula>0</formula>
    </cfRule>
  </conditionalFormatting>
  <conditionalFormatting sqref="C49">
    <cfRule type="cellIs" dxfId="38" priority="39" operator="equal">
      <formula>0</formula>
    </cfRule>
  </conditionalFormatting>
  <conditionalFormatting sqref="D49">
    <cfRule type="cellIs" dxfId="37" priority="38" operator="equal">
      <formula>0</formula>
    </cfRule>
  </conditionalFormatting>
  <conditionalFormatting sqref="B51">
    <cfRule type="cellIs" dxfId="36" priority="37" operator="equal">
      <formula>0</formula>
    </cfRule>
  </conditionalFormatting>
  <conditionalFormatting sqref="C51">
    <cfRule type="cellIs" dxfId="35" priority="36" operator="equal">
      <formula>0</formula>
    </cfRule>
  </conditionalFormatting>
  <conditionalFormatting sqref="D51">
    <cfRule type="cellIs" dxfId="34" priority="35" operator="equal">
      <formula>0</formula>
    </cfRule>
  </conditionalFormatting>
  <conditionalFormatting sqref="B53">
    <cfRule type="cellIs" dxfId="33" priority="34" operator="equal">
      <formula>0</formula>
    </cfRule>
  </conditionalFormatting>
  <conditionalFormatting sqref="C53">
    <cfRule type="cellIs" dxfId="32" priority="33" operator="equal">
      <formula>0</formula>
    </cfRule>
  </conditionalFormatting>
  <conditionalFormatting sqref="D53">
    <cfRule type="cellIs" dxfId="31" priority="32" operator="equal">
      <formula>0</formula>
    </cfRule>
  </conditionalFormatting>
  <conditionalFormatting sqref="B55">
    <cfRule type="cellIs" dxfId="30" priority="31" operator="equal">
      <formula>0</formula>
    </cfRule>
  </conditionalFormatting>
  <conditionalFormatting sqref="C55">
    <cfRule type="cellIs" dxfId="29" priority="30" operator="equal">
      <formula>0</formula>
    </cfRule>
  </conditionalFormatting>
  <conditionalFormatting sqref="D55">
    <cfRule type="cellIs" dxfId="28" priority="29" operator="equal">
      <formula>0</formula>
    </cfRule>
  </conditionalFormatting>
  <conditionalFormatting sqref="B54:D54">
    <cfRule type="cellIs" dxfId="27" priority="28" operator="equal">
      <formula>0</formula>
    </cfRule>
  </conditionalFormatting>
  <conditionalFormatting sqref="B52:D52">
    <cfRule type="cellIs" dxfId="26" priority="27" operator="equal">
      <formula>0</formula>
    </cfRule>
  </conditionalFormatting>
  <conditionalFormatting sqref="B50:D50">
    <cfRule type="cellIs" dxfId="25" priority="26" operator="equal">
      <formula>0</formula>
    </cfRule>
  </conditionalFormatting>
  <conditionalFormatting sqref="B48:D48">
    <cfRule type="cellIs" dxfId="24" priority="25" operator="equal">
      <formula>0</formula>
    </cfRule>
  </conditionalFormatting>
  <conditionalFormatting sqref="B46:D46">
    <cfRule type="cellIs" dxfId="23" priority="24" operator="equal">
      <formula>0</formula>
    </cfRule>
  </conditionalFormatting>
  <conditionalFormatting sqref="B44:D44">
    <cfRule type="cellIs" dxfId="22" priority="23" operator="equal">
      <formula>0</formula>
    </cfRule>
  </conditionalFormatting>
  <conditionalFormatting sqref="B38:D38">
    <cfRule type="cellIs" dxfId="21" priority="22" operator="equal">
      <formula>0</formula>
    </cfRule>
  </conditionalFormatting>
  <conditionalFormatting sqref="B36:D36">
    <cfRule type="cellIs" dxfId="20" priority="21" operator="equal">
      <formula>0</formula>
    </cfRule>
  </conditionalFormatting>
  <conditionalFormatting sqref="B34:D34">
    <cfRule type="cellIs" dxfId="19" priority="20" operator="equal">
      <formula>0</formula>
    </cfRule>
  </conditionalFormatting>
  <conditionalFormatting sqref="B32:D32">
    <cfRule type="cellIs" dxfId="18" priority="19" operator="equal">
      <formula>0</formula>
    </cfRule>
  </conditionalFormatting>
  <conditionalFormatting sqref="B30:D30">
    <cfRule type="cellIs" dxfId="17" priority="18" operator="equal">
      <formula>0</formula>
    </cfRule>
  </conditionalFormatting>
  <conditionalFormatting sqref="B28:D28">
    <cfRule type="cellIs" dxfId="16" priority="17" operator="equal">
      <formula>0</formula>
    </cfRule>
  </conditionalFormatting>
  <conditionalFormatting sqref="B26:D26">
    <cfRule type="cellIs" dxfId="15" priority="16" operator="equal">
      <formula>0</formula>
    </cfRule>
  </conditionalFormatting>
  <conditionalFormatting sqref="B24:D24">
    <cfRule type="cellIs" dxfId="14" priority="15" operator="equal">
      <formula>0</formula>
    </cfRule>
  </conditionalFormatting>
  <conditionalFormatting sqref="B22:D22">
    <cfRule type="cellIs" dxfId="13" priority="14" operator="equal">
      <formula>0</formula>
    </cfRule>
  </conditionalFormatting>
  <conditionalFormatting sqref="B20:D20">
    <cfRule type="cellIs" dxfId="12" priority="13" operator="equal">
      <formula>0</formula>
    </cfRule>
  </conditionalFormatting>
  <conditionalFormatting sqref="B18:D18">
    <cfRule type="cellIs" dxfId="11" priority="12" operator="equal">
      <formula>0</formula>
    </cfRule>
  </conditionalFormatting>
  <conditionalFormatting sqref="B12:D12">
    <cfRule type="cellIs" dxfId="10" priority="11" operator="equal">
      <formula>0</formula>
    </cfRule>
  </conditionalFormatting>
  <conditionalFormatting sqref="B10:D10">
    <cfRule type="cellIs" dxfId="9" priority="10" operator="equal">
      <formula>0</formula>
    </cfRule>
  </conditionalFormatting>
  <conditionalFormatting sqref="B8:D8">
    <cfRule type="cellIs" dxfId="8" priority="9" operator="equal">
      <formula>0</formula>
    </cfRule>
  </conditionalFormatting>
  <conditionalFormatting sqref="B6:D6">
    <cfRule type="cellIs" dxfId="7" priority="8" operator="equal">
      <formula>0</formula>
    </cfRule>
  </conditionalFormatting>
  <conditionalFormatting sqref="B4:D4">
    <cfRule type="cellIs" dxfId="6" priority="7" operator="equal">
      <formula>0</formula>
    </cfRule>
  </conditionalFormatting>
  <conditionalFormatting sqref="B13:D13 B15:D15">
    <cfRule type="cellIs" dxfId="5" priority="6" operator="equal">
      <formula>0</formula>
    </cfRule>
  </conditionalFormatting>
  <conditionalFormatting sqref="B14:D14 B16:D16">
    <cfRule type="cellIs" dxfId="4" priority="5" operator="equal">
      <formula>0</formula>
    </cfRule>
  </conditionalFormatting>
  <conditionalFormatting sqref="B56:D56">
    <cfRule type="cellIs" dxfId="3" priority="4" operator="equal">
      <formula>0</formula>
    </cfRule>
  </conditionalFormatting>
  <conditionalFormatting sqref="B40:D40 B42:D42">
    <cfRule type="cellIs" dxfId="2" priority="3" operator="equal">
      <formula>0</formula>
    </cfRule>
  </conditionalFormatting>
  <conditionalFormatting sqref="B41:D41 B43:D43 B57:D57">
    <cfRule type="cellIs" dxfId="1" priority="2" operator="equal">
      <formula>0</formula>
    </cfRule>
  </conditionalFormatting>
  <conditionalFormatting sqref="B58:D58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 activeCell="B16" sqref="B16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46023</v>
      </c>
      <c r="C1" s="20" t="s">
        <v>5</v>
      </c>
      <c r="D1" s="21">
        <v>46053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v>5663</v>
      </c>
      <c r="C3" s="3">
        <v>973</v>
      </c>
      <c r="D3" s="3">
        <v>1087</v>
      </c>
    </row>
    <row r="4" spans="1:4" x14ac:dyDescent="0.3">
      <c r="A4" s="9" t="s">
        <v>7</v>
      </c>
      <c r="B4" s="2">
        <v>3255</v>
      </c>
      <c r="C4" s="2">
        <v>287</v>
      </c>
      <c r="D4" s="2">
        <v>496</v>
      </c>
    </row>
    <row r="5" spans="1:4" x14ac:dyDescent="0.3">
      <c r="A5" s="10" t="s">
        <v>8</v>
      </c>
      <c r="B5" s="3">
        <v>9155</v>
      </c>
      <c r="C5" s="3">
        <v>922</v>
      </c>
      <c r="D5" s="3">
        <v>914</v>
      </c>
    </row>
    <row r="6" spans="1:4" x14ac:dyDescent="0.3">
      <c r="A6" s="9" t="s">
        <v>9</v>
      </c>
      <c r="B6" s="2">
        <v>89</v>
      </c>
      <c r="C6" s="2">
        <v>111</v>
      </c>
      <c r="D6" s="2">
        <v>11</v>
      </c>
    </row>
    <row r="7" spans="1:4" x14ac:dyDescent="0.3">
      <c r="A7" s="10" t="s">
        <v>10</v>
      </c>
      <c r="B7" s="3">
        <v>6272</v>
      </c>
      <c r="C7" s="3">
        <v>894</v>
      </c>
      <c r="D7" s="3">
        <v>874</v>
      </c>
    </row>
    <row r="8" spans="1:4" x14ac:dyDescent="0.3">
      <c r="A8" s="9" t="s">
        <v>11</v>
      </c>
      <c r="B8" s="2">
        <v>1062</v>
      </c>
      <c r="C8" s="2">
        <v>151</v>
      </c>
      <c r="D8" s="2">
        <v>130</v>
      </c>
    </row>
    <row r="9" spans="1:4" x14ac:dyDescent="0.3">
      <c r="A9" s="10" t="s">
        <v>12</v>
      </c>
      <c r="B9" s="3">
        <v>485</v>
      </c>
      <c r="C9" s="3">
        <v>160</v>
      </c>
      <c r="D9" s="3">
        <v>93</v>
      </c>
    </row>
    <row r="10" spans="1:4" x14ac:dyDescent="0.3">
      <c r="A10" s="9" t="s">
        <v>13</v>
      </c>
      <c r="B10" s="2">
        <v>251</v>
      </c>
      <c r="C10" s="2">
        <v>44</v>
      </c>
      <c r="D10" s="2">
        <v>23</v>
      </c>
    </row>
    <row r="11" spans="1:4" x14ac:dyDescent="0.3">
      <c r="A11" s="10" t="s">
        <v>14</v>
      </c>
      <c r="B11" s="3">
        <v>53</v>
      </c>
      <c r="C11" s="3">
        <v>16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28</v>
      </c>
      <c r="C13" s="4">
        <v>48</v>
      </c>
      <c r="D13" s="4">
        <v>6</v>
      </c>
    </row>
    <row r="14" spans="1:4" x14ac:dyDescent="0.3">
      <c r="A14" s="12" t="s">
        <v>17</v>
      </c>
      <c r="B14" s="5">
        <v>150</v>
      </c>
      <c r="C14" s="5">
        <v>100</v>
      </c>
      <c r="D14" s="5">
        <v>45</v>
      </c>
    </row>
    <row r="15" spans="1:4" x14ac:dyDescent="0.3">
      <c r="A15" s="11" t="s">
        <v>18</v>
      </c>
      <c r="B15" s="4">
        <v>745</v>
      </c>
      <c r="C15" s="4">
        <v>209</v>
      </c>
      <c r="D15" s="4">
        <v>175</v>
      </c>
    </row>
    <row r="16" spans="1:4" x14ac:dyDescent="0.3">
      <c r="A16" s="12" t="s">
        <v>19</v>
      </c>
      <c r="B16" s="5">
        <v>370</v>
      </c>
      <c r="C16" s="5">
        <v>309</v>
      </c>
      <c r="D16" s="5">
        <v>56</v>
      </c>
    </row>
    <row r="17" spans="1:4" x14ac:dyDescent="0.3">
      <c r="A17" s="10" t="s">
        <v>20</v>
      </c>
      <c r="B17" s="3">
        <v>246</v>
      </c>
      <c r="C17" s="3">
        <v>179</v>
      </c>
      <c r="D17" s="3">
        <v>58</v>
      </c>
    </row>
    <row r="18" spans="1:4" x14ac:dyDescent="0.3">
      <c r="A18" s="9" t="s">
        <v>21</v>
      </c>
      <c r="B18" s="2">
        <v>1898</v>
      </c>
      <c r="C18" s="2">
        <v>394</v>
      </c>
      <c r="D18" s="2">
        <v>507</v>
      </c>
    </row>
    <row r="19" spans="1:4" x14ac:dyDescent="0.3">
      <c r="A19" s="10" t="s">
        <v>22</v>
      </c>
      <c r="B19" s="3">
        <v>179</v>
      </c>
      <c r="C19" s="3">
        <v>73</v>
      </c>
      <c r="D19" s="3">
        <v>34</v>
      </c>
    </row>
    <row r="20" spans="1:4" x14ac:dyDescent="0.3">
      <c r="A20" s="9" t="s">
        <v>23</v>
      </c>
      <c r="B20" s="2">
        <v>2032</v>
      </c>
      <c r="C20" s="2">
        <v>200</v>
      </c>
      <c r="D20" s="2">
        <v>391</v>
      </c>
    </row>
    <row r="21" spans="1:4" x14ac:dyDescent="0.3">
      <c r="A21" s="10" t="s">
        <v>24</v>
      </c>
      <c r="B21" s="3">
        <v>27</v>
      </c>
      <c r="C21" s="3">
        <v>45</v>
      </c>
      <c r="D21" s="3">
        <v>3</v>
      </c>
    </row>
    <row r="22" spans="1:4" x14ac:dyDescent="0.3">
      <c r="A22" s="9" t="s">
        <v>25</v>
      </c>
      <c r="B22" s="2">
        <v>2018</v>
      </c>
      <c r="C22" s="2">
        <v>355</v>
      </c>
      <c r="D22" s="2">
        <v>396</v>
      </c>
    </row>
    <row r="23" spans="1:4" x14ac:dyDescent="0.3">
      <c r="A23" s="10" t="s">
        <v>26</v>
      </c>
      <c r="B23" s="3">
        <v>313</v>
      </c>
      <c r="C23" s="3">
        <v>183</v>
      </c>
      <c r="D23" s="3">
        <v>66</v>
      </c>
    </row>
    <row r="24" spans="1:4" x14ac:dyDescent="0.3">
      <c r="A24" s="9" t="s">
        <v>27</v>
      </c>
      <c r="B24" s="2">
        <v>2530</v>
      </c>
      <c r="C24" s="2">
        <v>445</v>
      </c>
      <c r="D24" s="2">
        <v>490</v>
      </c>
    </row>
    <row r="25" spans="1:4" x14ac:dyDescent="0.3">
      <c r="A25" s="10" t="s">
        <v>28</v>
      </c>
      <c r="B25" s="3">
        <v>11305</v>
      </c>
      <c r="C25" s="3">
        <v>1184</v>
      </c>
      <c r="D25" s="3">
        <v>1386</v>
      </c>
    </row>
    <row r="26" spans="1:4" x14ac:dyDescent="0.3">
      <c r="A26" s="9" t="s">
        <v>29</v>
      </c>
      <c r="B26" s="2">
        <v>578</v>
      </c>
      <c r="C26" s="2">
        <v>253</v>
      </c>
      <c r="D26" s="2">
        <v>131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641</v>
      </c>
      <c r="C28" s="2">
        <v>116</v>
      </c>
      <c r="D28" s="2">
        <v>153</v>
      </c>
    </row>
    <row r="29" spans="1:4" x14ac:dyDescent="0.3">
      <c r="A29" s="10" t="s">
        <v>32</v>
      </c>
      <c r="B29" s="3">
        <v>459</v>
      </c>
      <c r="C29" s="3">
        <v>103</v>
      </c>
      <c r="D29" s="3">
        <v>116</v>
      </c>
    </row>
    <row r="30" spans="1:4" x14ac:dyDescent="0.3">
      <c r="A30" s="9" t="s">
        <v>33</v>
      </c>
      <c r="B30" s="2">
        <v>2580</v>
      </c>
      <c r="C30" s="2">
        <v>466</v>
      </c>
      <c r="D30" s="2">
        <v>641</v>
      </c>
    </row>
    <row r="31" spans="1:4" x14ac:dyDescent="0.3">
      <c r="A31" s="10" t="s">
        <v>34</v>
      </c>
      <c r="B31" s="3">
        <v>37</v>
      </c>
      <c r="C31" s="3">
        <v>17</v>
      </c>
      <c r="D31" s="3">
        <v>17</v>
      </c>
    </row>
    <row r="32" spans="1:4" x14ac:dyDescent="0.3">
      <c r="A32" s="9" t="s">
        <v>35</v>
      </c>
      <c r="B32" s="2">
        <v>494</v>
      </c>
      <c r="C32" s="2">
        <v>186</v>
      </c>
      <c r="D32" s="2">
        <v>95</v>
      </c>
    </row>
    <row r="33" spans="1:4" x14ac:dyDescent="0.3">
      <c r="A33" s="10" t="s">
        <v>36</v>
      </c>
      <c r="B33" s="3">
        <v>1790</v>
      </c>
      <c r="C33" s="3">
        <v>430</v>
      </c>
      <c r="D33" s="3">
        <v>408</v>
      </c>
    </row>
    <row r="34" spans="1:4" x14ac:dyDescent="0.3">
      <c r="A34" s="9" t="s">
        <v>37</v>
      </c>
      <c r="B34" s="2">
        <v>1061</v>
      </c>
      <c r="C34" s="2">
        <v>310</v>
      </c>
      <c r="D34" s="2">
        <v>281</v>
      </c>
    </row>
    <row r="35" spans="1:4" x14ac:dyDescent="0.3">
      <c r="A35" s="10" t="s">
        <v>38</v>
      </c>
      <c r="B35" s="3">
        <v>645</v>
      </c>
      <c r="C35" s="3">
        <v>86</v>
      </c>
      <c r="D35" s="3">
        <v>152</v>
      </c>
    </row>
    <row r="36" spans="1:4" x14ac:dyDescent="0.3">
      <c r="A36" s="9" t="s">
        <v>39</v>
      </c>
      <c r="B36" s="2">
        <v>6895</v>
      </c>
      <c r="C36" s="2">
        <v>1269</v>
      </c>
      <c r="D36" s="2">
        <v>818</v>
      </c>
    </row>
    <row r="37" spans="1:4" x14ac:dyDescent="0.3">
      <c r="A37" s="10" t="s">
        <v>40</v>
      </c>
      <c r="B37" s="3">
        <v>979</v>
      </c>
      <c r="C37" s="3">
        <v>520</v>
      </c>
      <c r="D37" s="3">
        <v>157</v>
      </c>
    </row>
    <row r="38" spans="1:4" x14ac:dyDescent="0.3">
      <c r="A38" s="9" t="s">
        <v>41</v>
      </c>
      <c r="B38" s="2">
        <v>3290</v>
      </c>
      <c r="C38" s="2">
        <v>322</v>
      </c>
      <c r="D38" s="2">
        <v>367</v>
      </c>
    </row>
    <row r="39" spans="1:4" x14ac:dyDescent="0.3">
      <c r="A39" s="10" t="s">
        <v>42</v>
      </c>
      <c r="B39" s="3">
        <v>187</v>
      </c>
      <c r="C39" s="3">
        <v>187</v>
      </c>
      <c r="D39" s="3">
        <v>18</v>
      </c>
    </row>
    <row r="40" spans="1:4" x14ac:dyDescent="0.3">
      <c r="A40" s="13" t="s">
        <v>43</v>
      </c>
      <c r="B40" s="6">
        <v>439</v>
      </c>
      <c r="C40" s="6">
        <v>61</v>
      </c>
      <c r="D40" s="6">
        <v>14</v>
      </c>
    </row>
    <row r="41" spans="1:4" x14ac:dyDescent="0.3">
      <c r="A41" s="14" t="s">
        <v>44</v>
      </c>
      <c r="B41" s="7">
        <v>2327</v>
      </c>
      <c r="C41" s="7">
        <v>114</v>
      </c>
      <c r="D41" s="7">
        <v>94</v>
      </c>
    </row>
    <row r="42" spans="1:4" x14ac:dyDescent="0.3">
      <c r="A42" s="13" t="s">
        <v>45</v>
      </c>
      <c r="B42" s="6">
        <v>53</v>
      </c>
      <c r="C42" s="6">
        <v>12</v>
      </c>
      <c r="D42" s="6">
        <v>6</v>
      </c>
    </row>
    <row r="43" spans="1:4" x14ac:dyDescent="0.3">
      <c r="A43" s="14" t="s">
        <v>46</v>
      </c>
      <c r="B43" s="7">
        <v>310</v>
      </c>
      <c r="C43" s="7">
        <v>24</v>
      </c>
      <c r="D43" s="7">
        <v>20</v>
      </c>
    </row>
    <row r="44" spans="1:4" x14ac:dyDescent="0.3">
      <c r="A44" s="9" t="s">
        <v>47</v>
      </c>
      <c r="B44" s="2">
        <v>345</v>
      </c>
      <c r="C44" s="2">
        <v>89</v>
      </c>
      <c r="D44" s="2">
        <v>228</v>
      </c>
    </row>
    <row r="45" spans="1:4" x14ac:dyDescent="0.3">
      <c r="A45" s="10" t="s">
        <v>48</v>
      </c>
      <c r="B45" s="3">
        <v>323</v>
      </c>
      <c r="C45" s="3">
        <v>143</v>
      </c>
      <c r="D45" s="3">
        <v>29</v>
      </c>
    </row>
    <row r="46" spans="1:4" x14ac:dyDescent="0.3">
      <c r="A46" s="9" t="s">
        <v>49</v>
      </c>
      <c r="B46" s="2">
        <v>1894</v>
      </c>
      <c r="C46" s="2">
        <v>392</v>
      </c>
      <c r="D46" s="2">
        <v>432</v>
      </c>
    </row>
    <row r="47" spans="1:4" x14ac:dyDescent="0.3">
      <c r="A47" s="10" t="s">
        <v>50</v>
      </c>
      <c r="B47" s="3">
        <v>3565</v>
      </c>
      <c r="C47" s="3">
        <v>646</v>
      </c>
      <c r="D47" s="3">
        <v>779</v>
      </c>
    </row>
    <row r="48" spans="1:4" x14ac:dyDescent="0.3">
      <c r="A48" s="9" t="s">
        <v>51</v>
      </c>
      <c r="B48" s="2">
        <v>1357</v>
      </c>
      <c r="C48" s="2">
        <v>493</v>
      </c>
      <c r="D48" s="2">
        <v>164</v>
      </c>
    </row>
    <row r="49" spans="1:4" x14ac:dyDescent="0.3">
      <c r="A49" s="10" t="s">
        <v>52</v>
      </c>
      <c r="B49" s="3">
        <v>902</v>
      </c>
      <c r="C49" s="3">
        <v>271</v>
      </c>
      <c r="D49" s="3">
        <v>295</v>
      </c>
    </row>
    <row r="50" spans="1:4" x14ac:dyDescent="0.3">
      <c r="A50" s="9" t="s">
        <v>53</v>
      </c>
      <c r="B50" s="2">
        <v>3880</v>
      </c>
      <c r="C50" s="2">
        <v>363</v>
      </c>
      <c r="D50" s="2">
        <v>745</v>
      </c>
    </row>
    <row r="51" spans="1:4" x14ac:dyDescent="0.3">
      <c r="A51" s="10" t="s">
        <v>54</v>
      </c>
      <c r="B51" s="3">
        <v>429</v>
      </c>
      <c r="C51" s="3">
        <v>142</v>
      </c>
      <c r="D51" s="3">
        <v>118</v>
      </c>
    </row>
    <row r="52" spans="1:4" x14ac:dyDescent="0.3">
      <c r="A52" s="9" t="s">
        <v>55</v>
      </c>
      <c r="B52" s="2">
        <v>1570</v>
      </c>
      <c r="C52" s="2">
        <v>287</v>
      </c>
      <c r="D52" s="2">
        <v>547</v>
      </c>
    </row>
    <row r="53" spans="1:4" x14ac:dyDescent="0.3">
      <c r="A53" s="10" t="s">
        <v>56</v>
      </c>
      <c r="B53" s="3">
        <v>143</v>
      </c>
      <c r="C53" s="3">
        <v>191</v>
      </c>
      <c r="D53" s="3">
        <v>66</v>
      </c>
    </row>
    <row r="54" spans="1:4" x14ac:dyDescent="0.3">
      <c r="A54" s="9" t="s">
        <v>57</v>
      </c>
      <c r="B54" s="2">
        <v>209</v>
      </c>
      <c r="C54" s="2">
        <v>234</v>
      </c>
      <c r="D54" s="2">
        <v>23</v>
      </c>
    </row>
    <row r="55" spans="1:4" x14ac:dyDescent="0.3">
      <c r="A55" s="10" t="s">
        <v>58</v>
      </c>
      <c r="B55" s="3">
        <v>632</v>
      </c>
      <c r="C55" s="3">
        <v>189</v>
      </c>
      <c r="D55" s="3">
        <v>261</v>
      </c>
    </row>
    <row r="56" spans="1:4" x14ac:dyDescent="0.3">
      <c r="A56" s="11" t="s">
        <v>59</v>
      </c>
      <c r="B56" s="4">
        <v>1293</v>
      </c>
      <c r="C56" s="4">
        <v>600</v>
      </c>
      <c r="D56" s="4">
        <v>229</v>
      </c>
    </row>
    <row r="57" spans="1:4" x14ac:dyDescent="0.3">
      <c r="A57" s="14" t="s">
        <v>60</v>
      </c>
      <c r="B57" s="7">
        <v>3129</v>
      </c>
      <c r="C57" s="7">
        <v>186</v>
      </c>
      <c r="D57" s="7">
        <v>108</v>
      </c>
    </row>
    <row r="58" spans="1:4" x14ac:dyDescent="0.3">
      <c r="A58" s="15" t="s">
        <v>61</v>
      </c>
      <c r="B58" s="8">
        <v>86140</v>
      </c>
      <c r="C58" s="8">
        <v>15198</v>
      </c>
      <c r="D58" s="8">
        <v>14416</v>
      </c>
    </row>
  </sheetData>
  <autoFilter ref="A2:D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 activeCell="B8" sqref="B8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46054</v>
      </c>
      <c r="C1" s="20" t="s">
        <v>5</v>
      </c>
      <c r="D1" s="21">
        <v>46081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v>5122</v>
      </c>
      <c r="C3" s="3">
        <v>826</v>
      </c>
      <c r="D3" s="3">
        <v>998</v>
      </c>
    </row>
    <row r="4" spans="1:4" x14ac:dyDescent="0.3">
      <c r="A4" s="9" t="s">
        <v>7</v>
      </c>
      <c r="B4" s="2">
        <v>3066</v>
      </c>
      <c r="C4" s="2">
        <v>285</v>
      </c>
      <c r="D4" s="2">
        <v>551</v>
      </c>
    </row>
    <row r="5" spans="1:4" x14ac:dyDescent="0.3">
      <c r="A5" s="10" t="s">
        <v>8</v>
      </c>
      <c r="B5" s="3">
        <v>8064</v>
      </c>
      <c r="C5" s="3">
        <v>640</v>
      </c>
      <c r="D5" s="3">
        <v>807</v>
      </c>
    </row>
    <row r="6" spans="1:4" x14ac:dyDescent="0.3">
      <c r="A6" s="9" t="s">
        <v>9</v>
      </c>
      <c r="B6" s="2">
        <v>102</v>
      </c>
      <c r="C6" s="2">
        <v>73</v>
      </c>
      <c r="D6" s="2">
        <v>7</v>
      </c>
    </row>
    <row r="7" spans="1:4" x14ac:dyDescent="0.3">
      <c r="A7" s="10" t="s">
        <v>10</v>
      </c>
      <c r="B7" s="3">
        <v>5650</v>
      </c>
      <c r="C7" s="3">
        <v>804</v>
      </c>
      <c r="D7" s="3">
        <v>745</v>
      </c>
    </row>
    <row r="8" spans="1:4" x14ac:dyDescent="0.3">
      <c r="A8" s="9" t="s">
        <v>11</v>
      </c>
      <c r="B8" s="2">
        <v>897</v>
      </c>
      <c r="C8" s="2">
        <v>126</v>
      </c>
      <c r="D8" s="2">
        <v>92</v>
      </c>
    </row>
    <row r="9" spans="1:4" x14ac:dyDescent="0.3">
      <c r="A9" s="10" t="s">
        <v>12</v>
      </c>
      <c r="B9" s="3">
        <v>598</v>
      </c>
      <c r="C9" s="3">
        <v>126</v>
      </c>
      <c r="D9" s="3">
        <v>117</v>
      </c>
    </row>
    <row r="10" spans="1:4" x14ac:dyDescent="0.3">
      <c r="A10" s="9" t="s">
        <v>13</v>
      </c>
      <c r="B10" s="2">
        <v>225</v>
      </c>
      <c r="C10" s="2">
        <v>47</v>
      </c>
      <c r="D10" s="2">
        <v>12</v>
      </c>
    </row>
    <row r="11" spans="1:4" x14ac:dyDescent="0.3">
      <c r="A11" s="10" t="s">
        <v>14</v>
      </c>
      <c r="B11" s="3">
        <v>44</v>
      </c>
      <c r="C11" s="3">
        <v>20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18</v>
      </c>
      <c r="C13" s="4">
        <v>42</v>
      </c>
      <c r="D13" s="4">
        <v>1</v>
      </c>
    </row>
    <row r="14" spans="1:4" x14ac:dyDescent="0.3">
      <c r="A14" s="12" t="s">
        <v>17</v>
      </c>
      <c r="B14" s="5">
        <v>125</v>
      </c>
      <c r="C14" s="5">
        <v>158</v>
      </c>
      <c r="D14" s="5">
        <v>64</v>
      </c>
    </row>
    <row r="15" spans="1:4" x14ac:dyDescent="0.3">
      <c r="A15" s="11" t="s">
        <v>18</v>
      </c>
      <c r="B15" s="4">
        <v>722</v>
      </c>
      <c r="C15" s="4">
        <v>224</v>
      </c>
      <c r="D15" s="4">
        <v>133</v>
      </c>
    </row>
    <row r="16" spans="1:4" x14ac:dyDescent="0.3">
      <c r="A16" s="12" t="s">
        <v>19</v>
      </c>
      <c r="B16" s="5">
        <v>226</v>
      </c>
      <c r="C16" s="5">
        <v>249</v>
      </c>
      <c r="D16" s="5">
        <v>47</v>
      </c>
    </row>
    <row r="17" spans="1:4" x14ac:dyDescent="0.3">
      <c r="A17" s="10" t="s">
        <v>20</v>
      </c>
      <c r="B17" s="3">
        <v>294</v>
      </c>
      <c r="C17" s="3">
        <v>147</v>
      </c>
      <c r="D17" s="3">
        <v>29</v>
      </c>
    </row>
    <row r="18" spans="1:4" x14ac:dyDescent="0.3">
      <c r="A18" s="9" t="s">
        <v>21</v>
      </c>
      <c r="B18" s="2">
        <v>1798</v>
      </c>
      <c r="C18" s="2">
        <v>322</v>
      </c>
      <c r="D18" s="2">
        <v>480</v>
      </c>
    </row>
    <row r="19" spans="1:4" x14ac:dyDescent="0.3">
      <c r="A19" s="10" t="s">
        <v>22</v>
      </c>
      <c r="B19" s="3">
        <v>205</v>
      </c>
      <c r="C19" s="3">
        <v>55</v>
      </c>
      <c r="D19" s="3">
        <v>46</v>
      </c>
    </row>
    <row r="20" spans="1:4" x14ac:dyDescent="0.3">
      <c r="A20" s="9" t="s">
        <v>23</v>
      </c>
      <c r="B20" s="2">
        <v>2346</v>
      </c>
      <c r="C20" s="2">
        <v>264</v>
      </c>
      <c r="D20" s="2">
        <v>523</v>
      </c>
    </row>
    <row r="21" spans="1:4" x14ac:dyDescent="0.3">
      <c r="A21" s="10" t="s">
        <v>24</v>
      </c>
      <c r="B21" s="3">
        <v>32</v>
      </c>
      <c r="C21" s="3">
        <v>39</v>
      </c>
      <c r="D21" s="3">
        <v>2</v>
      </c>
    </row>
    <row r="22" spans="1:4" x14ac:dyDescent="0.3">
      <c r="A22" s="9" t="s">
        <v>25</v>
      </c>
      <c r="B22" s="2">
        <v>1797</v>
      </c>
      <c r="C22" s="2">
        <v>299</v>
      </c>
      <c r="D22" s="2">
        <v>415</v>
      </c>
    </row>
    <row r="23" spans="1:4" x14ac:dyDescent="0.3">
      <c r="A23" s="10" t="s">
        <v>26</v>
      </c>
      <c r="B23" s="3">
        <v>328</v>
      </c>
      <c r="C23" s="3">
        <v>193</v>
      </c>
      <c r="D23" s="3">
        <v>77</v>
      </c>
    </row>
    <row r="24" spans="1:4" x14ac:dyDescent="0.3">
      <c r="A24" s="9" t="s">
        <v>27</v>
      </c>
      <c r="B24" s="2">
        <v>2513</v>
      </c>
      <c r="C24" s="2">
        <v>391</v>
      </c>
      <c r="D24" s="2">
        <v>449</v>
      </c>
    </row>
    <row r="25" spans="1:4" x14ac:dyDescent="0.3">
      <c r="A25" s="10" t="s">
        <v>28</v>
      </c>
      <c r="B25" s="3">
        <v>10990</v>
      </c>
      <c r="C25" s="3">
        <v>1098</v>
      </c>
      <c r="D25" s="3">
        <v>1335</v>
      </c>
    </row>
    <row r="26" spans="1:4" x14ac:dyDescent="0.3">
      <c r="A26" s="9" t="s">
        <v>29</v>
      </c>
      <c r="B26" s="2">
        <v>565</v>
      </c>
      <c r="C26" s="2">
        <v>231</v>
      </c>
      <c r="D26" s="2">
        <v>122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523</v>
      </c>
      <c r="C28" s="2">
        <v>114</v>
      </c>
      <c r="D28" s="2">
        <v>110</v>
      </c>
    </row>
    <row r="29" spans="1:4" x14ac:dyDescent="0.3">
      <c r="A29" s="10" t="s">
        <v>32</v>
      </c>
      <c r="B29" s="3">
        <v>442</v>
      </c>
      <c r="C29" s="3">
        <v>107</v>
      </c>
      <c r="D29" s="3">
        <v>98</v>
      </c>
    </row>
    <row r="30" spans="1:4" x14ac:dyDescent="0.3">
      <c r="A30" s="9" t="s">
        <v>33</v>
      </c>
      <c r="B30" s="2">
        <v>2376</v>
      </c>
      <c r="C30" s="2">
        <v>351</v>
      </c>
      <c r="D30" s="2">
        <v>474</v>
      </c>
    </row>
    <row r="31" spans="1:4" x14ac:dyDescent="0.3">
      <c r="A31" s="10" t="s">
        <v>34</v>
      </c>
      <c r="B31" s="3">
        <v>30</v>
      </c>
      <c r="C31" s="3">
        <v>15</v>
      </c>
      <c r="D31" s="3">
        <v>3</v>
      </c>
    </row>
    <row r="32" spans="1:4" x14ac:dyDescent="0.3">
      <c r="A32" s="9" t="s">
        <v>35</v>
      </c>
      <c r="B32" s="2">
        <v>471</v>
      </c>
      <c r="C32" s="2">
        <v>215</v>
      </c>
      <c r="D32" s="2">
        <v>131</v>
      </c>
    </row>
    <row r="33" spans="1:4" x14ac:dyDescent="0.3">
      <c r="A33" s="10" t="s">
        <v>36</v>
      </c>
      <c r="B33" s="3">
        <v>1517</v>
      </c>
      <c r="C33" s="3">
        <v>395</v>
      </c>
      <c r="D33" s="3">
        <v>335</v>
      </c>
    </row>
    <row r="34" spans="1:4" x14ac:dyDescent="0.3">
      <c r="A34" s="9" t="s">
        <v>37</v>
      </c>
      <c r="B34" s="2">
        <v>1141</v>
      </c>
      <c r="C34" s="2">
        <v>210</v>
      </c>
      <c r="D34" s="2">
        <v>273</v>
      </c>
    </row>
    <row r="35" spans="1:4" x14ac:dyDescent="0.3">
      <c r="A35" s="10" t="s">
        <v>38</v>
      </c>
      <c r="B35" s="3">
        <v>815</v>
      </c>
      <c r="C35" s="3">
        <v>105</v>
      </c>
      <c r="D35" s="3">
        <v>130</v>
      </c>
    </row>
    <row r="36" spans="1:4" x14ac:dyDescent="0.3">
      <c r="A36" s="9" t="s">
        <v>39</v>
      </c>
      <c r="B36" s="2">
        <v>6409</v>
      </c>
      <c r="C36" s="2">
        <v>1063</v>
      </c>
      <c r="D36" s="2">
        <v>825</v>
      </c>
    </row>
    <row r="37" spans="1:4" x14ac:dyDescent="0.3">
      <c r="A37" s="10" t="s">
        <v>40</v>
      </c>
      <c r="B37" s="3">
        <v>916</v>
      </c>
      <c r="C37" s="3">
        <v>396</v>
      </c>
      <c r="D37" s="3">
        <v>144</v>
      </c>
    </row>
    <row r="38" spans="1:4" x14ac:dyDescent="0.3">
      <c r="A38" s="9" t="s">
        <v>41</v>
      </c>
      <c r="B38" s="2">
        <v>3292</v>
      </c>
      <c r="C38" s="2">
        <v>323</v>
      </c>
      <c r="D38" s="2">
        <v>388</v>
      </c>
    </row>
    <row r="39" spans="1:4" x14ac:dyDescent="0.3">
      <c r="A39" s="10" t="s">
        <v>42</v>
      </c>
      <c r="B39" s="3">
        <v>194</v>
      </c>
      <c r="C39" s="3">
        <v>126</v>
      </c>
      <c r="D39" s="3">
        <v>41</v>
      </c>
    </row>
    <row r="40" spans="1:4" x14ac:dyDescent="0.3">
      <c r="A40" s="13" t="s">
        <v>43</v>
      </c>
      <c r="B40" s="6">
        <v>432</v>
      </c>
      <c r="C40" s="6">
        <v>61</v>
      </c>
      <c r="D40" s="6">
        <v>20</v>
      </c>
    </row>
    <row r="41" spans="1:4" x14ac:dyDescent="0.3">
      <c r="A41" s="14" t="s">
        <v>44</v>
      </c>
      <c r="B41" s="7">
        <v>2481</v>
      </c>
      <c r="C41" s="7">
        <v>132</v>
      </c>
      <c r="D41" s="7">
        <v>121</v>
      </c>
    </row>
    <row r="42" spans="1:4" x14ac:dyDescent="0.3">
      <c r="A42" s="13" t="s">
        <v>45</v>
      </c>
      <c r="B42" s="6">
        <v>51</v>
      </c>
      <c r="C42" s="6">
        <v>47</v>
      </c>
      <c r="D42" s="6">
        <v>5</v>
      </c>
    </row>
    <row r="43" spans="1:4" x14ac:dyDescent="0.3">
      <c r="A43" s="14" t="s">
        <v>46</v>
      </c>
      <c r="B43" s="7">
        <v>337</v>
      </c>
      <c r="C43" s="7">
        <v>44</v>
      </c>
      <c r="D43" s="7">
        <v>33</v>
      </c>
    </row>
    <row r="44" spans="1:4" x14ac:dyDescent="0.3">
      <c r="A44" s="9" t="s">
        <v>47</v>
      </c>
      <c r="B44" s="2">
        <v>274</v>
      </c>
      <c r="C44" s="2">
        <v>59</v>
      </c>
      <c r="D44" s="2">
        <v>255</v>
      </c>
    </row>
    <row r="45" spans="1:4" x14ac:dyDescent="0.3">
      <c r="A45" s="10" t="s">
        <v>48</v>
      </c>
      <c r="B45" s="3">
        <v>387</v>
      </c>
      <c r="C45" s="3">
        <v>149</v>
      </c>
      <c r="D45" s="3">
        <v>44</v>
      </c>
    </row>
    <row r="46" spans="1:4" x14ac:dyDescent="0.3">
      <c r="A46" s="9" t="s">
        <v>49</v>
      </c>
      <c r="B46" s="2">
        <v>1621</v>
      </c>
      <c r="C46" s="2">
        <v>586</v>
      </c>
      <c r="D46" s="2">
        <v>358</v>
      </c>
    </row>
    <row r="47" spans="1:4" x14ac:dyDescent="0.3">
      <c r="A47" s="10" t="s">
        <v>50</v>
      </c>
      <c r="B47" s="3">
        <v>3081</v>
      </c>
      <c r="C47" s="3">
        <v>524</v>
      </c>
      <c r="D47" s="3">
        <v>569</v>
      </c>
    </row>
    <row r="48" spans="1:4" x14ac:dyDescent="0.3">
      <c r="A48" s="9" t="s">
        <v>51</v>
      </c>
      <c r="B48" s="2">
        <v>1225</v>
      </c>
      <c r="C48" s="2">
        <v>391</v>
      </c>
      <c r="D48" s="2">
        <v>189</v>
      </c>
    </row>
    <row r="49" spans="1:4" x14ac:dyDescent="0.3">
      <c r="A49" s="10" t="s">
        <v>52</v>
      </c>
      <c r="B49" s="3">
        <v>926</v>
      </c>
      <c r="C49" s="3">
        <v>224</v>
      </c>
      <c r="D49" s="3">
        <v>297</v>
      </c>
    </row>
    <row r="50" spans="1:4" x14ac:dyDescent="0.3">
      <c r="A50" s="9" t="s">
        <v>53</v>
      </c>
      <c r="B50" s="2">
        <v>3788</v>
      </c>
      <c r="C50" s="2">
        <v>444</v>
      </c>
      <c r="D50" s="2">
        <v>564</v>
      </c>
    </row>
    <row r="51" spans="1:4" x14ac:dyDescent="0.3">
      <c r="A51" s="10" t="s">
        <v>54</v>
      </c>
      <c r="B51" s="3">
        <v>385</v>
      </c>
      <c r="C51" s="3">
        <v>143</v>
      </c>
      <c r="D51" s="3">
        <v>94</v>
      </c>
    </row>
    <row r="52" spans="1:4" x14ac:dyDescent="0.3">
      <c r="A52" s="9" t="s">
        <v>55</v>
      </c>
      <c r="B52" s="2">
        <v>1239</v>
      </c>
      <c r="C52" s="2">
        <v>285</v>
      </c>
      <c r="D52" s="2">
        <v>456</v>
      </c>
    </row>
    <row r="53" spans="1:4" x14ac:dyDescent="0.3">
      <c r="A53" s="10" t="s">
        <v>56</v>
      </c>
      <c r="B53" s="3">
        <v>270</v>
      </c>
      <c r="C53" s="3">
        <v>149</v>
      </c>
      <c r="D53" s="3">
        <v>132</v>
      </c>
    </row>
    <row r="54" spans="1:4" x14ac:dyDescent="0.3">
      <c r="A54" s="9" t="s">
        <v>57</v>
      </c>
      <c r="B54" s="2">
        <v>258</v>
      </c>
      <c r="C54" s="2">
        <v>190</v>
      </c>
      <c r="D54" s="2">
        <v>22</v>
      </c>
    </row>
    <row r="55" spans="1:4" x14ac:dyDescent="0.3">
      <c r="A55" s="10" t="s">
        <v>58</v>
      </c>
      <c r="B55" s="3">
        <v>672</v>
      </c>
      <c r="C55" s="3">
        <v>145</v>
      </c>
      <c r="D55" s="3">
        <v>372</v>
      </c>
    </row>
    <row r="56" spans="1:4" x14ac:dyDescent="0.3">
      <c r="A56" s="11" t="s">
        <v>59</v>
      </c>
      <c r="B56" s="4">
        <v>1091</v>
      </c>
      <c r="C56" s="4">
        <v>629</v>
      </c>
      <c r="D56" s="4">
        <v>206</v>
      </c>
    </row>
    <row r="57" spans="1:4" x14ac:dyDescent="0.3">
      <c r="A57" s="14" t="s">
        <v>60</v>
      </c>
      <c r="B57" s="7">
        <v>3301</v>
      </c>
      <c r="C57" s="7">
        <v>245</v>
      </c>
      <c r="D57" s="7">
        <v>141</v>
      </c>
    </row>
    <row r="58" spans="1:4" x14ac:dyDescent="0.3">
      <c r="A58" s="15" t="s">
        <v>61</v>
      </c>
      <c r="B58" s="8">
        <v>81280</v>
      </c>
      <c r="C58" s="8">
        <v>13652</v>
      </c>
      <c r="D58" s="8">
        <v>13535</v>
      </c>
    </row>
  </sheetData>
  <autoFilter ref="A2:D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46082</v>
      </c>
      <c r="C1" s="20" t="s">
        <v>5</v>
      </c>
      <c r="D1" s="21">
        <v>46112</v>
      </c>
    </row>
    <row r="2" spans="1:4" x14ac:dyDescent="0.3">
      <c r="A2" s="16" t="s">
        <v>0</v>
      </c>
      <c r="B2" s="22" t="s">
        <v>1</v>
      </c>
      <c r="C2" s="17" t="s">
        <v>2</v>
      </c>
      <c r="D2" s="22" t="s">
        <v>3</v>
      </c>
    </row>
    <row r="3" spans="1:4" x14ac:dyDescent="0.3">
      <c r="A3" s="10" t="s">
        <v>6</v>
      </c>
      <c r="B3" s="3">
        <v>5840</v>
      </c>
      <c r="C3" s="3">
        <v>944</v>
      </c>
      <c r="D3" s="3">
        <v>1088</v>
      </c>
    </row>
    <row r="4" spans="1:4" x14ac:dyDescent="0.3">
      <c r="A4" s="9" t="s">
        <v>7</v>
      </c>
      <c r="B4" s="2">
        <v>3403</v>
      </c>
      <c r="C4" s="2">
        <v>338</v>
      </c>
      <c r="D4" s="2">
        <v>441</v>
      </c>
    </row>
    <row r="5" spans="1:4" x14ac:dyDescent="0.3">
      <c r="A5" s="10" t="s">
        <v>8</v>
      </c>
      <c r="B5" s="3">
        <v>9487</v>
      </c>
      <c r="C5" s="3">
        <v>827</v>
      </c>
      <c r="D5" s="3">
        <v>780</v>
      </c>
    </row>
    <row r="6" spans="1:4" x14ac:dyDescent="0.3">
      <c r="A6" s="9" t="s">
        <v>9</v>
      </c>
      <c r="B6" s="2">
        <v>87</v>
      </c>
      <c r="C6" s="2">
        <v>69</v>
      </c>
      <c r="D6" s="2">
        <v>8</v>
      </c>
    </row>
    <row r="7" spans="1:4" x14ac:dyDescent="0.3">
      <c r="A7" s="10" t="s">
        <v>10</v>
      </c>
      <c r="B7" s="3">
        <v>6290</v>
      </c>
      <c r="C7" s="3">
        <v>847</v>
      </c>
      <c r="D7" s="3">
        <v>764</v>
      </c>
    </row>
    <row r="8" spans="1:4" x14ac:dyDescent="0.3">
      <c r="A8" s="9" t="s">
        <v>11</v>
      </c>
      <c r="B8" s="2">
        <v>709</v>
      </c>
      <c r="C8" s="2">
        <v>151</v>
      </c>
      <c r="D8" s="2">
        <v>142</v>
      </c>
    </row>
    <row r="9" spans="1:4" x14ac:dyDescent="0.3">
      <c r="A9" s="10" t="s">
        <v>12</v>
      </c>
      <c r="B9" s="3">
        <v>555</v>
      </c>
      <c r="C9" s="3">
        <v>115</v>
      </c>
      <c r="D9" s="3">
        <v>110</v>
      </c>
    </row>
    <row r="10" spans="1:4" x14ac:dyDescent="0.3">
      <c r="A10" s="9" t="s">
        <v>13</v>
      </c>
      <c r="B10" s="2">
        <v>226</v>
      </c>
      <c r="C10" s="2">
        <v>30</v>
      </c>
      <c r="D10" s="2">
        <v>22</v>
      </c>
    </row>
    <row r="11" spans="1:4" x14ac:dyDescent="0.3">
      <c r="A11" s="10" t="s">
        <v>14</v>
      </c>
      <c r="B11" s="3">
        <v>46</v>
      </c>
      <c r="C11" s="3">
        <v>22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16</v>
      </c>
      <c r="C13" s="4">
        <v>38</v>
      </c>
      <c r="D13" s="4">
        <v>3</v>
      </c>
    </row>
    <row r="14" spans="1:4" x14ac:dyDescent="0.3">
      <c r="A14" s="12" t="s">
        <v>17</v>
      </c>
      <c r="B14" s="5">
        <v>214</v>
      </c>
      <c r="C14" s="5">
        <v>90</v>
      </c>
      <c r="D14" s="5">
        <v>59</v>
      </c>
    </row>
    <row r="15" spans="1:4" x14ac:dyDescent="0.3">
      <c r="A15" s="11" t="s">
        <v>18</v>
      </c>
      <c r="B15" s="4">
        <v>809</v>
      </c>
      <c r="C15" s="4">
        <v>264</v>
      </c>
      <c r="D15" s="4">
        <v>138</v>
      </c>
    </row>
    <row r="16" spans="1:4" x14ac:dyDescent="0.3">
      <c r="A16" s="12" t="s">
        <v>19</v>
      </c>
      <c r="B16" s="5">
        <v>328</v>
      </c>
      <c r="C16" s="5">
        <v>189</v>
      </c>
      <c r="D16" s="5">
        <v>50</v>
      </c>
    </row>
    <row r="17" spans="1:4" x14ac:dyDescent="0.3">
      <c r="A17" s="10" t="s">
        <v>20</v>
      </c>
      <c r="B17" s="3">
        <v>304</v>
      </c>
      <c r="C17" s="3">
        <v>119</v>
      </c>
      <c r="D17" s="3">
        <v>42</v>
      </c>
    </row>
    <row r="18" spans="1:4" x14ac:dyDescent="0.3">
      <c r="A18" s="9" t="s">
        <v>21</v>
      </c>
      <c r="B18" s="2">
        <v>2034</v>
      </c>
      <c r="C18" s="2">
        <v>361</v>
      </c>
      <c r="D18" s="2">
        <v>462</v>
      </c>
    </row>
    <row r="19" spans="1:4" x14ac:dyDescent="0.3">
      <c r="A19" s="10" t="s">
        <v>22</v>
      </c>
      <c r="B19" s="3">
        <v>177</v>
      </c>
      <c r="C19" s="3">
        <v>73</v>
      </c>
      <c r="D19" s="3">
        <v>63</v>
      </c>
    </row>
    <row r="20" spans="1:4" x14ac:dyDescent="0.3">
      <c r="A20" s="9" t="s">
        <v>23</v>
      </c>
      <c r="B20" s="2">
        <v>2033</v>
      </c>
      <c r="C20" s="2">
        <v>239</v>
      </c>
      <c r="D20" s="2">
        <v>493</v>
      </c>
    </row>
    <row r="21" spans="1:4" x14ac:dyDescent="0.3">
      <c r="A21" s="10" t="s">
        <v>24</v>
      </c>
      <c r="B21" s="3">
        <v>39</v>
      </c>
      <c r="C21" s="3">
        <v>40</v>
      </c>
      <c r="D21" s="3">
        <v>0</v>
      </c>
    </row>
    <row r="22" spans="1:4" x14ac:dyDescent="0.3">
      <c r="A22" s="9" t="s">
        <v>25</v>
      </c>
      <c r="B22" s="2">
        <v>2154</v>
      </c>
      <c r="C22" s="2">
        <v>340</v>
      </c>
      <c r="D22" s="2">
        <v>437</v>
      </c>
    </row>
    <row r="23" spans="1:4" x14ac:dyDescent="0.3">
      <c r="A23" s="10" t="s">
        <v>26</v>
      </c>
      <c r="B23" s="3">
        <v>336</v>
      </c>
      <c r="C23" s="3">
        <v>196</v>
      </c>
      <c r="D23" s="3">
        <v>56</v>
      </c>
    </row>
    <row r="24" spans="1:4" x14ac:dyDescent="0.3">
      <c r="A24" s="9" t="s">
        <v>27</v>
      </c>
      <c r="B24" s="2">
        <v>3233</v>
      </c>
      <c r="C24" s="2">
        <v>470</v>
      </c>
      <c r="D24" s="2">
        <v>738</v>
      </c>
    </row>
    <row r="25" spans="1:4" x14ac:dyDescent="0.3">
      <c r="A25" s="10" t="s">
        <v>28</v>
      </c>
      <c r="B25" s="3">
        <v>12077</v>
      </c>
      <c r="C25" s="3">
        <v>995</v>
      </c>
      <c r="D25" s="3">
        <v>1176</v>
      </c>
    </row>
    <row r="26" spans="1:4" x14ac:dyDescent="0.3">
      <c r="A26" s="9" t="s">
        <v>29</v>
      </c>
      <c r="B26" s="2">
        <v>537</v>
      </c>
      <c r="C26" s="2">
        <v>277</v>
      </c>
      <c r="D26" s="2">
        <v>107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619</v>
      </c>
      <c r="C28" s="2">
        <v>157</v>
      </c>
      <c r="D28" s="2">
        <v>132</v>
      </c>
    </row>
    <row r="29" spans="1:4" x14ac:dyDescent="0.3">
      <c r="A29" s="10" t="s">
        <v>32</v>
      </c>
      <c r="B29" s="3">
        <v>469</v>
      </c>
      <c r="C29" s="3">
        <v>77</v>
      </c>
      <c r="D29" s="3">
        <v>147</v>
      </c>
    </row>
    <row r="30" spans="1:4" x14ac:dyDescent="0.3">
      <c r="A30" s="9" t="s">
        <v>33</v>
      </c>
      <c r="B30" s="2">
        <v>2548</v>
      </c>
      <c r="C30" s="2">
        <v>388</v>
      </c>
      <c r="D30" s="2">
        <v>469</v>
      </c>
    </row>
    <row r="31" spans="1:4" x14ac:dyDescent="0.3">
      <c r="A31" s="10" t="s">
        <v>34</v>
      </c>
      <c r="B31" s="3">
        <v>31</v>
      </c>
      <c r="C31" s="3">
        <v>7</v>
      </c>
      <c r="D31" s="3">
        <v>23</v>
      </c>
    </row>
    <row r="32" spans="1:4" x14ac:dyDescent="0.3">
      <c r="A32" s="9" t="s">
        <v>35</v>
      </c>
      <c r="B32" s="2">
        <v>481</v>
      </c>
      <c r="C32" s="2">
        <v>203</v>
      </c>
      <c r="D32" s="2">
        <v>105</v>
      </c>
    </row>
    <row r="33" spans="1:4" x14ac:dyDescent="0.3">
      <c r="A33" s="10" t="s">
        <v>36</v>
      </c>
      <c r="B33" s="3">
        <v>1646</v>
      </c>
      <c r="C33" s="3">
        <v>455</v>
      </c>
      <c r="D33" s="3">
        <v>345</v>
      </c>
    </row>
    <row r="34" spans="1:4" x14ac:dyDescent="0.3">
      <c r="A34" s="9" t="s">
        <v>37</v>
      </c>
      <c r="B34" s="2">
        <v>1192</v>
      </c>
      <c r="C34" s="2">
        <v>234</v>
      </c>
      <c r="D34" s="2">
        <v>264</v>
      </c>
    </row>
    <row r="35" spans="1:4" x14ac:dyDescent="0.3">
      <c r="A35" s="10" t="s">
        <v>38</v>
      </c>
      <c r="B35" s="3">
        <v>488</v>
      </c>
      <c r="C35" s="3">
        <v>98</v>
      </c>
      <c r="D35" s="3">
        <v>107</v>
      </c>
    </row>
    <row r="36" spans="1:4" x14ac:dyDescent="0.3">
      <c r="A36" s="9" t="s">
        <v>39</v>
      </c>
      <c r="B36" s="2">
        <v>6076</v>
      </c>
      <c r="C36" s="2">
        <v>1122</v>
      </c>
      <c r="D36" s="2">
        <v>843</v>
      </c>
    </row>
    <row r="37" spans="1:4" x14ac:dyDescent="0.3">
      <c r="A37" s="10" t="s">
        <v>40</v>
      </c>
      <c r="B37" s="3">
        <v>875</v>
      </c>
      <c r="C37" s="3">
        <v>468</v>
      </c>
      <c r="D37" s="3">
        <v>129</v>
      </c>
    </row>
    <row r="38" spans="1:4" x14ac:dyDescent="0.3">
      <c r="A38" s="9" t="s">
        <v>41</v>
      </c>
      <c r="B38" s="2">
        <v>3854</v>
      </c>
      <c r="C38" s="2">
        <v>324</v>
      </c>
      <c r="D38" s="2">
        <v>515</v>
      </c>
    </row>
    <row r="39" spans="1:4" x14ac:dyDescent="0.3">
      <c r="A39" s="10" t="s">
        <v>42</v>
      </c>
      <c r="B39" s="3">
        <v>233</v>
      </c>
      <c r="C39" s="3">
        <v>152</v>
      </c>
      <c r="D39" s="3">
        <v>36</v>
      </c>
    </row>
    <row r="40" spans="1:4" x14ac:dyDescent="0.3">
      <c r="A40" s="13" t="s">
        <v>43</v>
      </c>
      <c r="B40" s="6">
        <v>476</v>
      </c>
      <c r="C40" s="6">
        <v>112</v>
      </c>
      <c r="D40" s="6">
        <v>18</v>
      </c>
    </row>
    <row r="41" spans="1:4" x14ac:dyDescent="0.3">
      <c r="A41" s="14" t="s">
        <v>44</v>
      </c>
      <c r="B41" s="7">
        <v>2135</v>
      </c>
      <c r="C41" s="7">
        <v>81</v>
      </c>
      <c r="D41" s="7">
        <v>116</v>
      </c>
    </row>
    <row r="42" spans="1:4" x14ac:dyDescent="0.3">
      <c r="A42" s="13" t="s">
        <v>45</v>
      </c>
      <c r="B42" s="6">
        <v>41</v>
      </c>
      <c r="C42" s="6">
        <v>16</v>
      </c>
      <c r="D42" s="6">
        <v>3</v>
      </c>
    </row>
    <row r="43" spans="1:4" x14ac:dyDescent="0.3">
      <c r="A43" s="14" t="s">
        <v>46</v>
      </c>
      <c r="B43" s="7">
        <v>251</v>
      </c>
      <c r="C43" s="7">
        <v>35</v>
      </c>
      <c r="D43" s="7">
        <v>18</v>
      </c>
    </row>
    <row r="44" spans="1:4" x14ac:dyDescent="0.3">
      <c r="A44" s="9" t="s">
        <v>47</v>
      </c>
      <c r="B44" s="2">
        <v>238</v>
      </c>
      <c r="C44" s="2">
        <v>88</v>
      </c>
      <c r="D44" s="2">
        <v>83</v>
      </c>
    </row>
    <row r="45" spans="1:4" x14ac:dyDescent="0.3">
      <c r="A45" s="10" t="s">
        <v>48</v>
      </c>
      <c r="B45" s="3">
        <v>411</v>
      </c>
      <c r="C45" s="3">
        <v>170</v>
      </c>
      <c r="D45" s="3">
        <v>35</v>
      </c>
    </row>
    <row r="46" spans="1:4" x14ac:dyDescent="0.3">
      <c r="A46" s="9" t="s">
        <v>49</v>
      </c>
      <c r="B46" s="2">
        <v>1860</v>
      </c>
      <c r="C46" s="2">
        <v>453</v>
      </c>
      <c r="D46" s="2">
        <v>406</v>
      </c>
    </row>
    <row r="47" spans="1:4" x14ac:dyDescent="0.3">
      <c r="A47" s="10" t="s">
        <v>50</v>
      </c>
      <c r="B47" s="3">
        <v>3539</v>
      </c>
      <c r="C47" s="3">
        <v>560</v>
      </c>
      <c r="D47" s="3">
        <v>642</v>
      </c>
    </row>
    <row r="48" spans="1:4" x14ac:dyDescent="0.3">
      <c r="A48" s="9" t="s">
        <v>51</v>
      </c>
      <c r="B48" s="2">
        <v>1578</v>
      </c>
      <c r="C48" s="2">
        <v>451</v>
      </c>
      <c r="D48" s="2">
        <v>196</v>
      </c>
    </row>
    <row r="49" spans="1:4" x14ac:dyDescent="0.3">
      <c r="A49" s="10" t="s">
        <v>52</v>
      </c>
      <c r="B49" s="3">
        <v>1083</v>
      </c>
      <c r="C49" s="3">
        <v>196</v>
      </c>
      <c r="D49" s="3">
        <v>256</v>
      </c>
    </row>
    <row r="50" spans="1:4" x14ac:dyDescent="0.3">
      <c r="A50" s="9" t="s">
        <v>53</v>
      </c>
      <c r="B50" s="2">
        <v>4098</v>
      </c>
      <c r="C50" s="2">
        <v>454</v>
      </c>
      <c r="D50" s="2">
        <v>706</v>
      </c>
    </row>
    <row r="51" spans="1:4" x14ac:dyDescent="0.3">
      <c r="A51" s="10" t="s">
        <v>54</v>
      </c>
      <c r="B51" s="3">
        <v>520</v>
      </c>
      <c r="C51" s="3">
        <v>112</v>
      </c>
      <c r="D51" s="3">
        <v>155</v>
      </c>
    </row>
    <row r="52" spans="1:4" x14ac:dyDescent="0.3">
      <c r="A52" s="9" t="s">
        <v>55</v>
      </c>
      <c r="B52" s="2">
        <v>1450</v>
      </c>
      <c r="C52" s="2">
        <v>284</v>
      </c>
      <c r="D52" s="2">
        <v>394</v>
      </c>
    </row>
    <row r="53" spans="1:4" x14ac:dyDescent="0.3">
      <c r="A53" s="10" t="s">
        <v>56</v>
      </c>
      <c r="B53" s="3">
        <v>236</v>
      </c>
      <c r="C53" s="3">
        <v>206</v>
      </c>
      <c r="D53" s="3">
        <v>92</v>
      </c>
    </row>
    <row r="54" spans="1:4" x14ac:dyDescent="0.3">
      <c r="A54" s="9" t="s">
        <v>57</v>
      </c>
      <c r="B54" s="2">
        <v>206</v>
      </c>
      <c r="C54" s="2">
        <v>181</v>
      </c>
      <c r="D54" s="2">
        <v>15</v>
      </c>
    </row>
    <row r="55" spans="1:4" x14ac:dyDescent="0.3">
      <c r="A55" s="10" t="s">
        <v>58</v>
      </c>
      <c r="B55" s="3">
        <v>726</v>
      </c>
      <c r="C55" s="3">
        <v>171</v>
      </c>
      <c r="D55" s="3">
        <v>403</v>
      </c>
    </row>
    <row r="56" spans="1:4" x14ac:dyDescent="0.3">
      <c r="A56" s="11" t="s">
        <v>59</v>
      </c>
      <c r="B56" s="4">
        <v>1367</v>
      </c>
      <c r="C56" s="4">
        <v>525</v>
      </c>
      <c r="D56" s="4">
        <v>202</v>
      </c>
    </row>
    <row r="57" spans="1:4" x14ac:dyDescent="0.3">
      <c r="A57" s="14" t="s">
        <v>60</v>
      </c>
      <c r="B57" s="7">
        <v>2903</v>
      </c>
      <c r="C57" s="7">
        <v>221</v>
      </c>
      <c r="D57" s="7">
        <v>134</v>
      </c>
    </row>
    <row r="58" spans="1:4" x14ac:dyDescent="0.3">
      <c r="A58" s="15" t="s">
        <v>61</v>
      </c>
      <c r="B58" s="8">
        <v>88294</v>
      </c>
      <c r="C58" s="8">
        <v>14289</v>
      </c>
      <c r="D58" s="8">
        <v>13832</v>
      </c>
    </row>
    <row r="59" spans="1:4" x14ac:dyDescent="0.3">
      <c r="A59" s="1" t="s">
        <v>61</v>
      </c>
      <c r="B59">
        <v>88294</v>
      </c>
      <c r="C59">
        <v>14289</v>
      </c>
      <c r="D59">
        <v>13832</v>
      </c>
    </row>
  </sheetData>
  <autoFilter ref="A2:D2" xr:uid="{00000000-0009-0000-0000-000003000000}"/>
  <pageMargins left="0.7" right="0.7" top="0.75" bottom="0.75" header="0.3" footer="0.3"/>
  <pageSetup paperSize="2048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46113</v>
      </c>
      <c r="C1" s="20" t="s">
        <v>5</v>
      </c>
      <c r="D1" s="21">
        <v>46142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v>5254</v>
      </c>
      <c r="C3" s="3">
        <v>863</v>
      </c>
      <c r="D3" s="3">
        <v>1013</v>
      </c>
    </row>
    <row r="4" spans="1:4" x14ac:dyDescent="0.3">
      <c r="A4" s="9" t="s">
        <v>7</v>
      </c>
      <c r="B4" s="2">
        <v>2831</v>
      </c>
      <c r="C4" s="2">
        <v>349</v>
      </c>
      <c r="D4" s="2">
        <v>392</v>
      </c>
    </row>
    <row r="5" spans="1:4" x14ac:dyDescent="0.3">
      <c r="A5" s="10" t="s">
        <v>8</v>
      </c>
      <c r="B5" s="3">
        <v>8105</v>
      </c>
      <c r="C5" s="3">
        <v>780</v>
      </c>
      <c r="D5" s="3">
        <v>750</v>
      </c>
    </row>
    <row r="6" spans="1:4" x14ac:dyDescent="0.3">
      <c r="A6" s="9" t="s">
        <v>9</v>
      </c>
      <c r="B6" s="2">
        <v>127</v>
      </c>
      <c r="C6" s="2">
        <v>90</v>
      </c>
      <c r="D6" s="2">
        <v>13</v>
      </c>
    </row>
    <row r="7" spans="1:4" x14ac:dyDescent="0.3">
      <c r="A7" s="10" t="s">
        <v>10</v>
      </c>
      <c r="B7" s="3">
        <v>5965</v>
      </c>
      <c r="C7" s="3">
        <v>785</v>
      </c>
      <c r="D7" s="3">
        <v>655</v>
      </c>
    </row>
    <row r="8" spans="1:4" x14ac:dyDescent="0.3">
      <c r="A8" s="9" t="s">
        <v>11</v>
      </c>
      <c r="B8" s="2">
        <v>1011</v>
      </c>
      <c r="C8" s="2">
        <v>124</v>
      </c>
      <c r="D8" s="2">
        <v>200</v>
      </c>
    </row>
    <row r="9" spans="1:4" x14ac:dyDescent="0.3">
      <c r="A9" s="10" t="s">
        <v>12</v>
      </c>
      <c r="B9" s="3">
        <v>402</v>
      </c>
      <c r="C9" s="3">
        <v>133</v>
      </c>
      <c r="D9" s="3">
        <v>80</v>
      </c>
    </row>
    <row r="10" spans="1:4" x14ac:dyDescent="0.3">
      <c r="A10" s="9" t="s">
        <v>13</v>
      </c>
      <c r="B10" s="2">
        <v>232</v>
      </c>
      <c r="C10" s="2">
        <v>43</v>
      </c>
      <c r="D10" s="2">
        <v>21</v>
      </c>
    </row>
    <row r="11" spans="1:4" x14ac:dyDescent="0.3">
      <c r="A11" s="10" t="s">
        <v>14</v>
      </c>
      <c r="B11" s="3">
        <v>59</v>
      </c>
      <c r="C11" s="3">
        <v>13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57</v>
      </c>
      <c r="C13" s="4">
        <v>37</v>
      </c>
      <c r="D13" s="4">
        <v>7</v>
      </c>
    </row>
    <row r="14" spans="1:4" x14ac:dyDescent="0.3">
      <c r="A14" s="12" t="s">
        <v>17</v>
      </c>
      <c r="B14" s="5">
        <v>209</v>
      </c>
      <c r="C14" s="5">
        <v>81</v>
      </c>
      <c r="D14" s="5">
        <v>59</v>
      </c>
    </row>
    <row r="15" spans="1:4" x14ac:dyDescent="0.3">
      <c r="A15" s="11" t="s">
        <v>18</v>
      </c>
      <c r="B15" s="4">
        <v>685</v>
      </c>
      <c r="C15" s="4">
        <v>210</v>
      </c>
      <c r="D15" s="4">
        <v>107</v>
      </c>
    </row>
    <row r="16" spans="1:4" x14ac:dyDescent="0.3">
      <c r="A16" s="12" t="s">
        <v>19</v>
      </c>
      <c r="B16" s="5">
        <v>279</v>
      </c>
      <c r="C16" s="5">
        <v>167</v>
      </c>
      <c r="D16" s="5">
        <v>34</v>
      </c>
    </row>
    <row r="17" spans="1:4" x14ac:dyDescent="0.3">
      <c r="A17" s="10" t="s">
        <v>20</v>
      </c>
      <c r="B17" s="3">
        <v>327</v>
      </c>
      <c r="C17" s="3">
        <v>93</v>
      </c>
      <c r="D17" s="3">
        <v>67</v>
      </c>
    </row>
    <row r="18" spans="1:4" x14ac:dyDescent="0.3">
      <c r="A18" s="9" t="s">
        <v>21</v>
      </c>
      <c r="B18" s="2">
        <v>1664</v>
      </c>
      <c r="C18" s="2">
        <v>310</v>
      </c>
      <c r="D18" s="2">
        <v>420</v>
      </c>
    </row>
    <row r="19" spans="1:4" x14ac:dyDescent="0.3">
      <c r="A19" s="10" t="s">
        <v>22</v>
      </c>
      <c r="B19" s="3">
        <v>203</v>
      </c>
      <c r="C19" s="3">
        <v>54</v>
      </c>
      <c r="D19" s="3">
        <v>54</v>
      </c>
    </row>
    <row r="20" spans="1:4" x14ac:dyDescent="0.3">
      <c r="A20" s="9" t="s">
        <v>23</v>
      </c>
      <c r="B20" s="2">
        <v>1998</v>
      </c>
      <c r="C20" s="2">
        <v>230</v>
      </c>
      <c r="D20" s="2">
        <v>297</v>
      </c>
    </row>
    <row r="21" spans="1:4" x14ac:dyDescent="0.3">
      <c r="A21" s="10" t="s">
        <v>24</v>
      </c>
      <c r="B21" s="3">
        <v>20</v>
      </c>
      <c r="C21" s="3">
        <v>26</v>
      </c>
      <c r="D21" s="3">
        <v>1</v>
      </c>
    </row>
    <row r="22" spans="1:4" x14ac:dyDescent="0.3">
      <c r="A22" s="9" t="s">
        <v>25</v>
      </c>
      <c r="B22" s="2">
        <v>1877</v>
      </c>
      <c r="C22" s="2">
        <v>308</v>
      </c>
      <c r="D22" s="2">
        <v>359</v>
      </c>
    </row>
    <row r="23" spans="1:4" x14ac:dyDescent="0.3">
      <c r="A23" s="10" t="s">
        <v>26</v>
      </c>
      <c r="B23" s="3">
        <v>374</v>
      </c>
      <c r="C23" s="3">
        <v>125</v>
      </c>
      <c r="D23" s="3">
        <v>87</v>
      </c>
    </row>
    <row r="24" spans="1:4" x14ac:dyDescent="0.3">
      <c r="A24" s="9" t="s">
        <v>27</v>
      </c>
      <c r="B24" s="2">
        <v>2971</v>
      </c>
      <c r="C24" s="2">
        <v>437</v>
      </c>
      <c r="D24" s="2">
        <v>430</v>
      </c>
    </row>
    <row r="25" spans="1:4" x14ac:dyDescent="0.3">
      <c r="A25" s="10" t="s">
        <v>28</v>
      </c>
      <c r="B25" s="3">
        <v>11327</v>
      </c>
      <c r="C25" s="3">
        <v>995</v>
      </c>
      <c r="D25" s="3">
        <v>1418</v>
      </c>
    </row>
    <row r="26" spans="1:4" x14ac:dyDescent="0.3">
      <c r="A26" s="9" t="s">
        <v>29</v>
      </c>
      <c r="B26" s="2">
        <v>604</v>
      </c>
      <c r="C26" s="2">
        <v>212</v>
      </c>
      <c r="D26" s="2">
        <v>153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599</v>
      </c>
      <c r="C28" s="2">
        <v>93</v>
      </c>
      <c r="D28" s="2">
        <v>143</v>
      </c>
    </row>
    <row r="29" spans="1:4" x14ac:dyDescent="0.3">
      <c r="A29" s="10" t="s">
        <v>32</v>
      </c>
      <c r="B29" s="3">
        <v>387</v>
      </c>
      <c r="C29" s="3">
        <v>84</v>
      </c>
      <c r="D29" s="3">
        <v>114</v>
      </c>
    </row>
    <row r="30" spans="1:4" x14ac:dyDescent="0.3">
      <c r="A30" s="9" t="s">
        <v>33</v>
      </c>
      <c r="B30" s="2">
        <v>2770</v>
      </c>
      <c r="C30" s="2">
        <v>283</v>
      </c>
      <c r="D30" s="2">
        <v>523</v>
      </c>
    </row>
    <row r="31" spans="1:4" x14ac:dyDescent="0.3">
      <c r="A31" s="10" t="s">
        <v>34</v>
      </c>
      <c r="B31" s="3">
        <v>85</v>
      </c>
      <c r="C31" s="3">
        <v>18</v>
      </c>
      <c r="D31" s="3">
        <v>50</v>
      </c>
    </row>
    <row r="32" spans="1:4" x14ac:dyDescent="0.3">
      <c r="A32" s="9" t="s">
        <v>35</v>
      </c>
      <c r="B32" s="2">
        <v>393</v>
      </c>
      <c r="C32" s="2">
        <v>199</v>
      </c>
      <c r="D32" s="2">
        <v>51</v>
      </c>
    </row>
    <row r="33" spans="1:4" x14ac:dyDescent="0.3">
      <c r="A33" s="10" t="s">
        <v>36</v>
      </c>
      <c r="B33" s="3">
        <v>1518</v>
      </c>
      <c r="C33" s="3">
        <v>359</v>
      </c>
      <c r="D33" s="3">
        <v>299</v>
      </c>
    </row>
    <row r="34" spans="1:4" x14ac:dyDescent="0.3">
      <c r="A34" s="9" t="s">
        <v>37</v>
      </c>
      <c r="B34" s="2">
        <v>1046</v>
      </c>
      <c r="C34" s="2">
        <v>195</v>
      </c>
      <c r="D34" s="2">
        <v>224</v>
      </c>
    </row>
    <row r="35" spans="1:4" x14ac:dyDescent="0.3">
      <c r="A35" s="10" t="s">
        <v>38</v>
      </c>
      <c r="B35" s="3">
        <v>544</v>
      </c>
      <c r="C35" s="3">
        <v>66</v>
      </c>
      <c r="D35" s="3">
        <v>95</v>
      </c>
    </row>
    <row r="36" spans="1:4" x14ac:dyDescent="0.3">
      <c r="A36" s="9" t="s">
        <v>39</v>
      </c>
      <c r="B36" s="2">
        <v>3565</v>
      </c>
      <c r="C36" s="2">
        <v>944</v>
      </c>
      <c r="D36" s="2">
        <v>942</v>
      </c>
    </row>
    <row r="37" spans="1:4" x14ac:dyDescent="0.3">
      <c r="A37" s="10" t="s">
        <v>40</v>
      </c>
      <c r="B37" s="3">
        <v>821</v>
      </c>
      <c r="C37" s="3">
        <v>336</v>
      </c>
      <c r="D37" s="3">
        <v>117</v>
      </c>
    </row>
    <row r="38" spans="1:4" x14ac:dyDescent="0.3">
      <c r="A38" s="9" t="s">
        <v>41</v>
      </c>
      <c r="B38" s="2">
        <v>3385</v>
      </c>
      <c r="C38" s="2">
        <v>193</v>
      </c>
      <c r="D38" s="2">
        <v>414</v>
      </c>
    </row>
    <row r="39" spans="1:4" x14ac:dyDescent="0.3">
      <c r="A39" s="10" t="s">
        <v>42</v>
      </c>
      <c r="B39" s="3">
        <v>297</v>
      </c>
      <c r="C39" s="3">
        <v>124</v>
      </c>
      <c r="D39" s="3">
        <v>40</v>
      </c>
    </row>
    <row r="40" spans="1:4" x14ac:dyDescent="0.3">
      <c r="A40" s="13" t="s">
        <v>43</v>
      </c>
      <c r="B40" s="6">
        <v>560</v>
      </c>
      <c r="C40" s="6">
        <v>57</v>
      </c>
      <c r="D40" s="6">
        <v>7</v>
      </c>
    </row>
    <row r="41" spans="1:4" x14ac:dyDescent="0.3">
      <c r="A41" s="14" t="s">
        <v>44</v>
      </c>
      <c r="B41" s="7">
        <v>2000</v>
      </c>
      <c r="C41" s="7">
        <v>98</v>
      </c>
      <c r="D41" s="7">
        <v>80</v>
      </c>
    </row>
    <row r="42" spans="1:4" x14ac:dyDescent="0.3">
      <c r="A42" s="13" t="s">
        <v>45</v>
      </c>
      <c r="B42" s="6">
        <v>26</v>
      </c>
      <c r="C42" s="6">
        <v>18</v>
      </c>
      <c r="D42" s="6">
        <v>2</v>
      </c>
    </row>
    <row r="43" spans="1:4" x14ac:dyDescent="0.3">
      <c r="A43" s="14" t="s">
        <v>46</v>
      </c>
      <c r="B43" s="7">
        <v>239</v>
      </c>
      <c r="C43" s="7">
        <v>13</v>
      </c>
      <c r="D43" s="7">
        <v>10</v>
      </c>
    </row>
    <row r="44" spans="1:4" x14ac:dyDescent="0.3">
      <c r="A44" s="9" t="s">
        <v>47</v>
      </c>
      <c r="B44" s="2">
        <v>148</v>
      </c>
      <c r="C44" s="2">
        <v>63</v>
      </c>
      <c r="D44" s="2">
        <v>101</v>
      </c>
    </row>
    <row r="45" spans="1:4" x14ac:dyDescent="0.3">
      <c r="A45" s="10" t="s">
        <v>48</v>
      </c>
      <c r="B45" s="3">
        <v>447</v>
      </c>
      <c r="C45" s="3">
        <v>147</v>
      </c>
      <c r="D45" s="3">
        <v>50</v>
      </c>
    </row>
    <row r="46" spans="1:4" x14ac:dyDescent="0.3">
      <c r="A46" s="9" t="s">
        <v>49</v>
      </c>
      <c r="B46" s="2">
        <v>1826</v>
      </c>
      <c r="C46" s="2">
        <v>404</v>
      </c>
      <c r="D46" s="2">
        <v>388</v>
      </c>
    </row>
    <row r="47" spans="1:4" x14ac:dyDescent="0.3">
      <c r="A47" s="10" t="s">
        <v>50</v>
      </c>
      <c r="B47" s="3">
        <v>2919</v>
      </c>
      <c r="C47" s="3">
        <v>481</v>
      </c>
      <c r="D47" s="3">
        <v>452</v>
      </c>
    </row>
    <row r="48" spans="1:4" x14ac:dyDescent="0.3">
      <c r="A48" s="9" t="s">
        <v>51</v>
      </c>
      <c r="B48" s="2">
        <v>1623</v>
      </c>
      <c r="C48" s="2">
        <v>443</v>
      </c>
      <c r="D48" s="2">
        <v>168</v>
      </c>
    </row>
    <row r="49" spans="1:4" x14ac:dyDescent="0.3">
      <c r="A49" s="10" t="s">
        <v>52</v>
      </c>
      <c r="B49" s="3">
        <v>902</v>
      </c>
      <c r="C49" s="3">
        <v>174</v>
      </c>
      <c r="D49" s="3">
        <v>212</v>
      </c>
    </row>
    <row r="50" spans="1:4" x14ac:dyDescent="0.3">
      <c r="A50" s="9" t="s">
        <v>53</v>
      </c>
      <c r="B50" s="2">
        <v>3745</v>
      </c>
      <c r="C50" s="2">
        <v>455</v>
      </c>
      <c r="D50" s="2">
        <v>625</v>
      </c>
    </row>
    <row r="51" spans="1:4" x14ac:dyDescent="0.3">
      <c r="A51" s="10" t="s">
        <v>54</v>
      </c>
      <c r="B51" s="3">
        <v>542</v>
      </c>
      <c r="C51" s="3">
        <v>114</v>
      </c>
      <c r="D51" s="3">
        <v>113</v>
      </c>
    </row>
    <row r="52" spans="1:4" x14ac:dyDescent="0.3">
      <c r="A52" s="9" t="s">
        <v>55</v>
      </c>
      <c r="B52" s="2">
        <v>1258</v>
      </c>
      <c r="C52" s="2">
        <v>248</v>
      </c>
      <c r="D52" s="2">
        <v>228</v>
      </c>
    </row>
    <row r="53" spans="1:4" x14ac:dyDescent="0.3">
      <c r="A53" s="10" t="s">
        <v>56</v>
      </c>
      <c r="B53" s="3">
        <v>212</v>
      </c>
      <c r="C53" s="3">
        <v>164</v>
      </c>
      <c r="D53" s="3">
        <v>95</v>
      </c>
    </row>
    <row r="54" spans="1:4" x14ac:dyDescent="0.3">
      <c r="A54" s="9" t="s">
        <v>57</v>
      </c>
      <c r="B54" s="2">
        <v>330</v>
      </c>
      <c r="C54" s="2">
        <v>173</v>
      </c>
      <c r="D54" s="2">
        <v>20</v>
      </c>
    </row>
    <row r="55" spans="1:4" x14ac:dyDescent="0.3">
      <c r="A55" s="10" t="s">
        <v>58</v>
      </c>
      <c r="B55" s="3">
        <v>703</v>
      </c>
      <c r="C55" s="3">
        <v>119</v>
      </c>
      <c r="D55" s="3">
        <v>378</v>
      </c>
    </row>
    <row r="56" spans="1:4" x14ac:dyDescent="0.3">
      <c r="A56" s="11" t="s">
        <v>59</v>
      </c>
      <c r="B56" s="4">
        <v>1230</v>
      </c>
      <c r="C56" s="4">
        <v>461</v>
      </c>
      <c r="D56" s="4">
        <v>180</v>
      </c>
    </row>
    <row r="57" spans="1:4" x14ac:dyDescent="0.3">
      <c r="A57" s="14" t="s">
        <v>60</v>
      </c>
      <c r="B57" s="7">
        <v>2825</v>
      </c>
      <c r="C57" s="7">
        <v>176</v>
      </c>
      <c r="D57" s="7">
        <v>87</v>
      </c>
    </row>
    <row r="58" spans="1:4" x14ac:dyDescent="0.3">
      <c r="A58" s="15" t="s">
        <v>61</v>
      </c>
      <c r="B58" s="8">
        <v>79471</v>
      </c>
      <c r="C58" s="8">
        <v>12530</v>
      </c>
      <c r="D58" s="8">
        <v>12558</v>
      </c>
    </row>
    <row r="61" spans="1:4" x14ac:dyDescent="0.3">
      <c r="B61">
        <v>25</v>
      </c>
    </row>
  </sheetData>
  <autoFilter ref="A2:D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46143</v>
      </c>
      <c r="C1" s="20" t="s">
        <v>5</v>
      </c>
      <c r="D1" s="21">
        <v>46173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v>5945</v>
      </c>
      <c r="C3" s="3">
        <v>647</v>
      </c>
      <c r="D3" s="3">
        <v>891</v>
      </c>
    </row>
    <row r="4" spans="1:4" x14ac:dyDescent="0.3">
      <c r="A4" s="9" t="s">
        <v>7</v>
      </c>
      <c r="B4" s="2">
        <v>3615</v>
      </c>
      <c r="C4" s="2">
        <v>285</v>
      </c>
      <c r="D4" s="2">
        <v>415</v>
      </c>
    </row>
    <row r="5" spans="1:4" x14ac:dyDescent="0.3">
      <c r="A5" s="10" t="s">
        <v>8</v>
      </c>
      <c r="B5" s="3">
        <v>8217</v>
      </c>
      <c r="C5" s="3">
        <v>839</v>
      </c>
      <c r="D5" s="3">
        <v>613</v>
      </c>
    </row>
    <row r="6" spans="1:4" x14ac:dyDescent="0.3">
      <c r="A6" s="9" t="s">
        <v>9</v>
      </c>
      <c r="B6" s="2">
        <v>170</v>
      </c>
      <c r="C6" s="2">
        <v>55</v>
      </c>
      <c r="D6" s="2">
        <v>9</v>
      </c>
    </row>
    <row r="7" spans="1:4" x14ac:dyDescent="0.3">
      <c r="A7" s="10" t="s">
        <v>10</v>
      </c>
      <c r="B7" s="3">
        <v>6259</v>
      </c>
      <c r="C7" s="3">
        <v>833</v>
      </c>
      <c r="D7" s="3">
        <v>602</v>
      </c>
    </row>
    <row r="8" spans="1:4" x14ac:dyDescent="0.3">
      <c r="A8" s="9" t="s">
        <v>11</v>
      </c>
      <c r="B8" s="2">
        <v>943</v>
      </c>
      <c r="C8" s="2">
        <v>130</v>
      </c>
      <c r="D8" s="2">
        <v>146</v>
      </c>
    </row>
    <row r="9" spans="1:4" x14ac:dyDescent="0.3">
      <c r="A9" s="10" t="s">
        <v>12</v>
      </c>
      <c r="B9" s="3">
        <v>534</v>
      </c>
      <c r="C9" s="3">
        <v>87</v>
      </c>
      <c r="D9" s="3">
        <v>81</v>
      </c>
    </row>
    <row r="10" spans="1:4" x14ac:dyDescent="0.3">
      <c r="A10" s="9" t="s">
        <v>13</v>
      </c>
      <c r="B10" s="2">
        <v>291</v>
      </c>
      <c r="C10" s="2">
        <v>30</v>
      </c>
      <c r="D10" s="2">
        <v>28</v>
      </c>
    </row>
    <row r="11" spans="1:4" x14ac:dyDescent="0.3">
      <c r="A11" s="10" t="s">
        <v>14</v>
      </c>
      <c r="B11" s="3">
        <v>30</v>
      </c>
      <c r="C11" s="3">
        <v>8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63</v>
      </c>
      <c r="C13" s="4">
        <v>8</v>
      </c>
      <c r="D13" s="4">
        <v>4</v>
      </c>
    </row>
    <row r="14" spans="1:4" x14ac:dyDescent="0.3">
      <c r="A14" s="12" t="s">
        <v>17</v>
      </c>
      <c r="B14" s="5">
        <v>184</v>
      </c>
      <c r="C14" s="5">
        <v>67</v>
      </c>
      <c r="D14" s="5">
        <v>46</v>
      </c>
    </row>
    <row r="15" spans="1:4" x14ac:dyDescent="0.3">
      <c r="A15" s="11" t="s">
        <v>18</v>
      </c>
      <c r="B15" s="4">
        <v>694</v>
      </c>
      <c r="C15" s="4">
        <v>189</v>
      </c>
      <c r="D15" s="4">
        <v>87</v>
      </c>
    </row>
    <row r="16" spans="1:4" x14ac:dyDescent="0.3">
      <c r="A16" s="12" t="s">
        <v>19</v>
      </c>
      <c r="B16" s="5">
        <v>285</v>
      </c>
      <c r="C16" s="5">
        <v>205</v>
      </c>
      <c r="D16" s="5">
        <v>39</v>
      </c>
    </row>
    <row r="17" spans="1:4" x14ac:dyDescent="0.3">
      <c r="A17" s="10" t="s">
        <v>20</v>
      </c>
      <c r="B17" s="3">
        <v>261</v>
      </c>
      <c r="C17" s="3">
        <v>108</v>
      </c>
      <c r="D17" s="3">
        <v>41</v>
      </c>
    </row>
    <row r="18" spans="1:4" x14ac:dyDescent="0.3">
      <c r="A18" s="9" t="s">
        <v>21</v>
      </c>
      <c r="B18" s="2">
        <v>1954</v>
      </c>
      <c r="C18" s="2">
        <v>254</v>
      </c>
      <c r="D18" s="2">
        <v>387</v>
      </c>
    </row>
    <row r="19" spans="1:4" x14ac:dyDescent="0.3">
      <c r="A19" s="10" t="s">
        <v>22</v>
      </c>
      <c r="B19" s="3">
        <v>165</v>
      </c>
      <c r="C19" s="3">
        <v>77</v>
      </c>
      <c r="D19" s="3">
        <v>41</v>
      </c>
    </row>
    <row r="20" spans="1:4" x14ac:dyDescent="0.3">
      <c r="A20" s="9" t="s">
        <v>23</v>
      </c>
      <c r="B20" s="2">
        <v>2034</v>
      </c>
      <c r="C20" s="2">
        <v>255</v>
      </c>
      <c r="D20" s="2">
        <v>307</v>
      </c>
    </row>
    <row r="21" spans="1:4" x14ac:dyDescent="0.3">
      <c r="A21" s="10" t="s">
        <v>24</v>
      </c>
      <c r="B21" s="3">
        <v>8</v>
      </c>
      <c r="C21" s="3">
        <v>14</v>
      </c>
      <c r="D21" s="3">
        <v>1</v>
      </c>
    </row>
    <row r="22" spans="1:4" x14ac:dyDescent="0.3">
      <c r="A22" s="9" t="s">
        <v>25</v>
      </c>
      <c r="B22" s="2">
        <v>2128</v>
      </c>
      <c r="C22" s="2">
        <v>252</v>
      </c>
      <c r="D22" s="2">
        <v>359</v>
      </c>
    </row>
    <row r="23" spans="1:4" x14ac:dyDescent="0.3">
      <c r="A23" s="10" t="s">
        <v>26</v>
      </c>
      <c r="B23" s="3">
        <v>352</v>
      </c>
      <c r="C23" s="3">
        <v>162</v>
      </c>
      <c r="D23" s="3">
        <v>66</v>
      </c>
    </row>
    <row r="24" spans="1:4" x14ac:dyDescent="0.3">
      <c r="A24" s="9" t="s">
        <v>27</v>
      </c>
      <c r="B24" s="2">
        <v>1846</v>
      </c>
      <c r="C24" s="2">
        <v>319</v>
      </c>
      <c r="D24" s="2">
        <v>262</v>
      </c>
    </row>
    <row r="25" spans="1:4" x14ac:dyDescent="0.3">
      <c r="A25" s="10" t="s">
        <v>28</v>
      </c>
      <c r="B25" s="3">
        <v>13121</v>
      </c>
      <c r="C25" s="3">
        <v>1007</v>
      </c>
      <c r="D25" s="3">
        <v>1088</v>
      </c>
    </row>
    <row r="26" spans="1:4" x14ac:dyDescent="0.3">
      <c r="A26" s="9" t="s">
        <v>29</v>
      </c>
      <c r="B26" s="2">
        <v>622</v>
      </c>
      <c r="C26" s="2">
        <v>183</v>
      </c>
      <c r="D26" s="2">
        <v>77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676</v>
      </c>
      <c r="C28" s="2">
        <v>126</v>
      </c>
      <c r="D28" s="2">
        <v>176</v>
      </c>
    </row>
    <row r="29" spans="1:4" x14ac:dyDescent="0.3">
      <c r="A29" s="10" t="s">
        <v>32</v>
      </c>
      <c r="B29" s="3">
        <v>471</v>
      </c>
      <c r="C29" s="3">
        <v>63</v>
      </c>
      <c r="D29" s="3">
        <v>100</v>
      </c>
    </row>
    <row r="30" spans="1:4" x14ac:dyDescent="0.3">
      <c r="A30" s="9" t="s">
        <v>33</v>
      </c>
      <c r="B30" s="2">
        <v>3173</v>
      </c>
      <c r="C30" s="2">
        <v>248</v>
      </c>
      <c r="D30" s="2">
        <v>457</v>
      </c>
    </row>
    <row r="31" spans="1:4" x14ac:dyDescent="0.3">
      <c r="A31" s="10" t="s">
        <v>34</v>
      </c>
      <c r="B31" s="3">
        <v>34</v>
      </c>
      <c r="C31" s="3">
        <v>26</v>
      </c>
      <c r="D31" s="3">
        <v>22</v>
      </c>
    </row>
    <row r="32" spans="1:4" x14ac:dyDescent="0.3">
      <c r="A32" s="9" t="s">
        <v>35</v>
      </c>
      <c r="B32" s="2">
        <v>418</v>
      </c>
      <c r="C32" s="2">
        <v>191</v>
      </c>
      <c r="D32" s="2">
        <v>64</v>
      </c>
    </row>
    <row r="33" spans="1:4" x14ac:dyDescent="0.3">
      <c r="A33" s="10" t="s">
        <v>36</v>
      </c>
      <c r="B33" s="3">
        <v>1695</v>
      </c>
      <c r="C33" s="3">
        <v>317</v>
      </c>
      <c r="D33" s="3">
        <v>302</v>
      </c>
    </row>
    <row r="34" spans="1:4" x14ac:dyDescent="0.3">
      <c r="A34" s="9" t="s">
        <v>37</v>
      </c>
      <c r="B34" s="2">
        <v>1201</v>
      </c>
      <c r="C34" s="2">
        <v>231</v>
      </c>
      <c r="D34" s="2">
        <v>208</v>
      </c>
    </row>
    <row r="35" spans="1:4" x14ac:dyDescent="0.3">
      <c r="A35" s="10" t="s">
        <v>38</v>
      </c>
      <c r="B35" s="3">
        <v>653</v>
      </c>
      <c r="C35" s="3">
        <v>61</v>
      </c>
      <c r="D35" s="3">
        <v>97</v>
      </c>
    </row>
    <row r="36" spans="1:4" x14ac:dyDescent="0.3">
      <c r="A36" s="9" t="s">
        <v>39</v>
      </c>
      <c r="B36" s="2">
        <v>5483</v>
      </c>
      <c r="C36" s="2">
        <v>1090</v>
      </c>
      <c r="D36" s="2">
        <v>801</v>
      </c>
    </row>
    <row r="37" spans="1:4" x14ac:dyDescent="0.3">
      <c r="A37" s="10" t="s">
        <v>40</v>
      </c>
      <c r="B37" s="3">
        <v>961</v>
      </c>
      <c r="C37" s="3">
        <v>403</v>
      </c>
      <c r="D37" s="3">
        <v>119</v>
      </c>
    </row>
    <row r="38" spans="1:4" x14ac:dyDescent="0.3">
      <c r="A38" s="9" t="s">
        <v>41</v>
      </c>
      <c r="B38" s="2">
        <v>4080</v>
      </c>
      <c r="C38" s="2">
        <v>228</v>
      </c>
      <c r="D38" s="2">
        <v>362</v>
      </c>
    </row>
    <row r="39" spans="1:4" x14ac:dyDescent="0.3">
      <c r="A39" s="10" t="s">
        <v>42</v>
      </c>
      <c r="B39" s="3">
        <v>360</v>
      </c>
      <c r="C39" s="3">
        <v>153</v>
      </c>
      <c r="D39" s="3">
        <v>24</v>
      </c>
    </row>
    <row r="40" spans="1:4" x14ac:dyDescent="0.3">
      <c r="A40" s="13" t="s">
        <v>43</v>
      </c>
      <c r="B40" s="6">
        <v>102</v>
      </c>
      <c r="C40" s="6">
        <v>1</v>
      </c>
      <c r="D40" s="6">
        <v>0</v>
      </c>
    </row>
    <row r="41" spans="1:4" x14ac:dyDescent="0.3">
      <c r="A41" s="14" t="s">
        <v>44</v>
      </c>
      <c r="B41" s="7">
        <v>26</v>
      </c>
      <c r="C41" s="7">
        <v>3</v>
      </c>
      <c r="D41" s="7">
        <v>2</v>
      </c>
    </row>
    <row r="42" spans="1:4" x14ac:dyDescent="0.3">
      <c r="A42" s="13" t="s">
        <v>45</v>
      </c>
      <c r="B42" s="6">
        <v>2</v>
      </c>
      <c r="C42" s="6">
        <v>0</v>
      </c>
      <c r="D42" s="6">
        <v>0</v>
      </c>
    </row>
    <row r="43" spans="1:4" x14ac:dyDescent="0.3">
      <c r="A43" s="14" t="s">
        <v>46</v>
      </c>
      <c r="B43" s="7">
        <v>0</v>
      </c>
      <c r="C43" s="7">
        <v>0</v>
      </c>
      <c r="D43" s="7">
        <v>0</v>
      </c>
    </row>
    <row r="44" spans="1:4" x14ac:dyDescent="0.3">
      <c r="A44" s="9" t="s">
        <v>47</v>
      </c>
      <c r="B44" s="2">
        <v>216</v>
      </c>
      <c r="C44" s="2">
        <v>68</v>
      </c>
      <c r="D44" s="2">
        <v>82</v>
      </c>
    </row>
    <row r="45" spans="1:4" x14ac:dyDescent="0.3">
      <c r="A45" s="10" t="s">
        <v>48</v>
      </c>
      <c r="B45" s="3">
        <v>431</v>
      </c>
      <c r="C45" s="3">
        <v>171</v>
      </c>
      <c r="D45" s="3">
        <v>38</v>
      </c>
    </row>
    <row r="46" spans="1:4" x14ac:dyDescent="0.3">
      <c r="A46" s="9" t="s">
        <v>49</v>
      </c>
      <c r="B46" s="2">
        <v>1833</v>
      </c>
      <c r="C46" s="2">
        <v>387</v>
      </c>
      <c r="D46" s="2">
        <v>347</v>
      </c>
    </row>
    <row r="47" spans="1:4" x14ac:dyDescent="0.3">
      <c r="A47" s="10" t="s">
        <v>50</v>
      </c>
      <c r="B47" s="3">
        <v>4979</v>
      </c>
      <c r="C47" s="3">
        <v>382</v>
      </c>
      <c r="D47" s="3">
        <v>464</v>
      </c>
    </row>
    <row r="48" spans="1:4" x14ac:dyDescent="0.3">
      <c r="A48" s="9" t="s">
        <v>51</v>
      </c>
      <c r="B48" s="2">
        <v>1831</v>
      </c>
      <c r="C48" s="2">
        <v>375</v>
      </c>
      <c r="D48" s="2">
        <v>135</v>
      </c>
    </row>
    <row r="49" spans="1:4" x14ac:dyDescent="0.3">
      <c r="A49" s="10" t="s">
        <v>52</v>
      </c>
      <c r="B49" s="3">
        <v>738</v>
      </c>
      <c r="C49" s="3">
        <v>127</v>
      </c>
      <c r="D49" s="3">
        <v>159</v>
      </c>
    </row>
    <row r="50" spans="1:4" x14ac:dyDescent="0.3">
      <c r="A50" s="9" t="s">
        <v>53</v>
      </c>
      <c r="B50" s="2">
        <v>4667</v>
      </c>
      <c r="C50" s="2">
        <v>319</v>
      </c>
      <c r="D50" s="2">
        <v>625</v>
      </c>
    </row>
    <row r="51" spans="1:4" x14ac:dyDescent="0.3">
      <c r="A51" s="10" t="s">
        <v>54</v>
      </c>
      <c r="B51" s="3">
        <v>478</v>
      </c>
      <c r="C51" s="3">
        <v>107</v>
      </c>
      <c r="D51" s="3">
        <v>84</v>
      </c>
    </row>
    <row r="52" spans="1:4" x14ac:dyDescent="0.3">
      <c r="A52" s="9" t="s">
        <v>55</v>
      </c>
      <c r="B52" s="2">
        <v>1176</v>
      </c>
      <c r="C52" s="2">
        <v>227</v>
      </c>
      <c r="D52" s="2">
        <v>204</v>
      </c>
    </row>
    <row r="53" spans="1:4" x14ac:dyDescent="0.3">
      <c r="A53" s="10" t="s">
        <v>56</v>
      </c>
      <c r="B53" s="3">
        <v>140</v>
      </c>
      <c r="C53" s="3">
        <v>157</v>
      </c>
      <c r="D53" s="3">
        <v>49</v>
      </c>
    </row>
    <row r="54" spans="1:4" x14ac:dyDescent="0.3">
      <c r="A54" s="9" t="s">
        <v>57</v>
      </c>
      <c r="B54" s="2">
        <v>268</v>
      </c>
      <c r="C54" s="2">
        <v>174</v>
      </c>
      <c r="D54" s="2">
        <v>18</v>
      </c>
    </row>
    <row r="55" spans="1:4" x14ac:dyDescent="0.3">
      <c r="A55" s="10" t="s">
        <v>58</v>
      </c>
      <c r="B55" s="3">
        <v>935</v>
      </c>
      <c r="C55" s="3">
        <v>141</v>
      </c>
      <c r="D55" s="3">
        <v>265</v>
      </c>
    </row>
    <row r="56" spans="1:4" x14ac:dyDescent="0.3">
      <c r="A56" s="11" t="s">
        <v>59</v>
      </c>
      <c r="B56" s="4">
        <v>1226</v>
      </c>
      <c r="C56" s="4">
        <v>430</v>
      </c>
      <c r="D56" s="4">
        <v>141</v>
      </c>
    </row>
    <row r="57" spans="1:4" x14ac:dyDescent="0.3">
      <c r="A57" s="14" t="s">
        <v>60</v>
      </c>
      <c r="B57" s="7">
        <v>130</v>
      </c>
      <c r="C57" s="7">
        <v>4</v>
      </c>
      <c r="D57" s="7">
        <v>2</v>
      </c>
    </row>
    <row r="58" spans="1:4" x14ac:dyDescent="0.3">
      <c r="A58" s="15" t="s">
        <v>61</v>
      </c>
      <c r="B58" s="8">
        <v>86748</v>
      </c>
      <c r="C58" s="8">
        <v>11790</v>
      </c>
      <c r="D58" s="8">
        <v>10794</v>
      </c>
    </row>
  </sheetData>
  <autoFilter ref="A2:D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46174</v>
      </c>
      <c r="C1" s="20" t="s">
        <v>5</v>
      </c>
      <c r="D1" s="21">
        <v>46203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v>6881</v>
      </c>
      <c r="C3" s="3">
        <v>815</v>
      </c>
      <c r="D3" s="3">
        <v>1046</v>
      </c>
    </row>
    <row r="4" spans="1:4" x14ac:dyDescent="0.3">
      <c r="A4" s="9" t="s">
        <v>7</v>
      </c>
      <c r="B4" s="2">
        <v>4172</v>
      </c>
      <c r="C4" s="2">
        <v>244</v>
      </c>
      <c r="D4" s="2">
        <v>577</v>
      </c>
    </row>
    <row r="5" spans="1:4" x14ac:dyDescent="0.3">
      <c r="A5" s="10" t="s">
        <v>8</v>
      </c>
      <c r="B5" s="3">
        <v>10577</v>
      </c>
      <c r="C5" s="3">
        <v>747</v>
      </c>
      <c r="D5" s="3">
        <v>858</v>
      </c>
    </row>
    <row r="6" spans="1:4" x14ac:dyDescent="0.3">
      <c r="A6" s="9" t="s">
        <v>9</v>
      </c>
      <c r="B6" s="2">
        <v>424</v>
      </c>
      <c r="C6" s="2">
        <v>78</v>
      </c>
      <c r="D6" s="2">
        <v>38</v>
      </c>
    </row>
    <row r="7" spans="1:4" x14ac:dyDescent="0.3">
      <c r="A7" s="10" t="s">
        <v>10</v>
      </c>
      <c r="B7" s="3">
        <v>7611</v>
      </c>
      <c r="C7" s="3">
        <v>722</v>
      </c>
      <c r="D7" s="3">
        <v>734</v>
      </c>
    </row>
    <row r="8" spans="1:4" x14ac:dyDescent="0.3">
      <c r="A8" s="9" t="s">
        <v>11</v>
      </c>
      <c r="B8" s="2">
        <v>633</v>
      </c>
      <c r="C8" s="2">
        <v>141</v>
      </c>
      <c r="D8" s="2">
        <v>112</v>
      </c>
    </row>
    <row r="9" spans="1:4" x14ac:dyDescent="0.3">
      <c r="A9" s="10" t="s">
        <v>12</v>
      </c>
      <c r="B9" s="3">
        <v>635</v>
      </c>
      <c r="C9" s="3">
        <v>137</v>
      </c>
      <c r="D9" s="3">
        <v>73</v>
      </c>
    </row>
    <row r="10" spans="1:4" x14ac:dyDescent="0.3">
      <c r="A10" s="9" t="s">
        <v>13</v>
      </c>
      <c r="B10" s="2">
        <v>416</v>
      </c>
      <c r="C10" s="2">
        <v>36</v>
      </c>
      <c r="D10" s="2">
        <v>36</v>
      </c>
    </row>
    <row r="11" spans="1:4" x14ac:dyDescent="0.3">
      <c r="A11" s="10" t="s">
        <v>14</v>
      </c>
      <c r="B11" s="3">
        <v>85</v>
      </c>
      <c r="C11" s="3">
        <v>11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37</v>
      </c>
      <c r="C13" s="4">
        <v>43</v>
      </c>
      <c r="D13" s="4">
        <v>4</v>
      </c>
    </row>
    <row r="14" spans="1:4" x14ac:dyDescent="0.3">
      <c r="A14" s="12" t="s">
        <v>17</v>
      </c>
      <c r="B14" s="5">
        <v>190</v>
      </c>
      <c r="C14" s="5">
        <v>81</v>
      </c>
      <c r="D14" s="5">
        <v>33</v>
      </c>
    </row>
    <row r="15" spans="1:4" x14ac:dyDescent="0.3">
      <c r="A15" s="11" t="s">
        <v>18</v>
      </c>
      <c r="B15" s="4">
        <v>705</v>
      </c>
      <c r="C15" s="4">
        <v>266</v>
      </c>
      <c r="D15" s="4">
        <v>102</v>
      </c>
    </row>
    <row r="16" spans="1:4" x14ac:dyDescent="0.3">
      <c r="A16" s="12" t="s">
        <v>19</v>
      </c>
      <c r="B16" s="5">
        <v>436</v>
      </c>
      <c r="C16" s="5">
        <v>208</v>
      </c>
      <c r="D16" s="5">
        <v>74</v>
      </c>
    </row>
    <row r="17" spans="1:4" x14ac:dyDescent="0.3">
      <c r="A17" s="10" t="s">
        <v>20</v>
      </c>
      <c r="B17" s="3">
        <v>363</v>
      </c>
      <c r="C17" s="3">
        <v>114</v>
      </c>
      <c r="D17" s="3">
        <v>39</v>
      </c>
    </row>
    <row r="18" spans="1:4" x14ac:dyDescent="0.3">
      <c r="A18" s="9" t="s">
        <v>21</v>
      </c>
      <c r="B18" s="2">
        <v>2775</v>
      </c>
      <c r="C18" s="2">
        <v>338</v>
      </c>
      <c r="D18" s="2">
        <v>533</v>
      </c>
    </row>
    <row r="19" spans="1:4" x14ac:dyDescent="0.3">
      <c r="A19" s="10" t="s">
        <v>22</v>
      </c>
      <c r="B19" s="3">
        <v>186</v>
      </c>
      <c r="C19" s="3">
        <v>61</v>
      </c>
      <c r="D19" s="3">
        <v>37</v>
      </c>
    </row>
    <row r="20" spans="1:4" x14ac:dyDescent="0.3">
      <c r="A20" s="9" t="s">
        <v>23</v>
      </c>
      <c r="B20" s="2">
        <v>2549</v>
      </c>
      <c r="C20" s="2">
        <v>262</v>
      </c>
      <c r="D20" s="2">
        <v>269</v>
      </c>
    </row>
    <row r="21" spans="1:4" x14ac:dyDescent="0.3">
      <c r="A21" s="10" t="s">
        <v>24</v>
      </c>
      <c r="B21" s="3">
        <v>4</v>
      </c>
      <c r="C21" s="3">
        <v>30</v>
      </c>
      <c r="D21" s="3">
        <v>0</v>
      </c>
    </row>
    <row r="22" spans="1:4" x14ac:dyDescent="0.3">
      <c r="A22" s="9" t="s">
        <v>25</v>
      </c>
      <c r="B22" s="2">
        <v>2395</v>
      </c>
      <c r="C22" s="2">
        <v>287</v>
      </c>
      <c r="D22" s="2">
        <v>441</v>
      </c>
    </row>
    <row r="23" spans="1:4" x14ac:dyDescent="0.3">
      <c r="A23" s="10" t="s">
        <v>26</v>
      </c>
      <c r="B23" s="3">
        <v>495</v>
      </c>
      <c r="C23" s="3">
        <v>159</v>
      </c>
      <c r="D23" s="3">
        <v>52</v>
      </c>
    </row>
    <row r="24" spans="1:4" x14ac:dyDescent="0.3">
      <c r="A24" s="9" t="s">
        <v>27</v>
      </c>
      <c r="B24" s="2">
        <v>3458</v>
      </c>
      <c r="C24" s="2">
        <v>571</v>
      </c>
      <c r="D24" s="2">
        <v>461</v>
      </c>
    </row>
    <row r="25" spans="1:4" x14ac:dyDescent="0.3">
      <c r="A25" s="10" t="s">
        <v>28</v>
      </c>
      <c r="B25" s="3">
        <v>14023</v>
      </c>
      <c r="C25" s="3">
        <v>945</v>
      </c>
      <c r="D25" s="3">
        <v>1247</v>
      </c>
    </row>
    <row r="26" spans="1:4" x14ac:dyDescent="0.3">
      <c r="A26" s="9" t="s">
        <v>29</v>
      </c>
      <c r="B26" s="2">
        <v>722</v>
      </c>
      <c r="C26" s="2">
        <v>307</v>
      </c>
      <c r="D26" s="2">
        <v>124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876</v>
      </c>
      <c r="C28" s="2">
        <v>167</v>
      </c>
      <c r="D28" s="2">
        <v>180</v>
      </c>
    </row>
    <row r="29" spans="1:4" x14ac:dyDescent="0.3">
      <c r="A29" s="10" t="s">
        <v>32</v>
      </c>
      <c r="B29" s="3">
        <v>632</v>
      </c>
      <c r="C29" s="3">
        <v>86</v>
      </c>
      <c r="D29" s="3">
        <v>147</v>
      </c>
    </row>
    <row r="30" spans="1:4" x14ac:dyDescent="0.3">
      <c r="A30" s="9" t="s">
        <v>33</v>
      </c>
      <c r="B30" s="2">
        <v>3982</v>
      </c>
      <c r="C30" s="2">
        <v>372</v>
      </c>
      <c r="D30" s="2">
        <v>581</v>
      </c>
    </row>
    <row r="31" spans="1:4" x14ac:dyDescent="0.3">
      <c r="A31" s="10" t="s">
        <v>34</v>
      </c>
      <c r="B31" s="3">
        <v>27</v>
      </c>
      <c r="C31" s="3">
        <v>40</v>
      </c>
      <c r="D31" s="3">
        <v>20</v>
      </c>
    </row>
    <row r="32" spans="1:4" x14ac:dyDescent="0.3">
      <c r="A32" s="9" t="s">
        <v>35</v>
      </c>
      <c r="B32" s="2">
        <v>360</v>
      </c>
      <c r="C32" s="2">
        <v>226</v>
      </c>
      <c r="D32" s="2">
        <v>59</v>
      </c>
    </row>
    <row r="33" spans="1:4" x14ac:dyDescent="0.3">
      <c r="A33" s="10" t="s">
        <v>36</v>
      </c>
      <c r="B33" s="3">
        <v>2172</v>
      </c>
      <c r="C33" s="3">
        <v>398</v>
      </c>
      <c r="D33" s="3">
        <v>305</v>
      </c>
    </row>
    <row r="34" spans="1:4" x14ac:dyDescent="0.3">
      <c r="A34" s="9" t="s">
        <v>37</v>
      </c>
      <c r="B34" s="2">
        <v>1888</v>
      </c>
      <c r="C34" s="2">
        <v>252</v>
      </c>
      <c r="D34" s="2">
        <v>253</v>
      </c>
    </row>
    <row r="35" spans="1:4" x14ac:dyDescent="0.3">
      <c r="A35" s="10" t="s">
        <v>38</v>
      </c>
      <c r="B35" s="3">
        <v>710</v>
      </c>
      <c r="C35" s="3">
        <v>92</v>
      </c>
      <c r="D35" s="3">
        <v>109</v>
      </c>
    </row>
    <row r="36" spans="1:4" x14ac:dyDescent="0.3">
      <c r="A36" s="9" t="s">
        <v>39</v>
      </c>
      <c r="B36" s="2">
        <v>9813</v>
      </c>
      <c r="C36" s="2">
        <v>1311</v>
      </c>
      <c r="D36" s="2">
        <v>853</v>
      </c>
    </row>
    <row r="37" spans="1:4" x14ac:dyDescent="0.3">
      <c r="A37" s="10" t="s">
        <v>40</v>
      </c>
      <c r="B37" s="3">
        <v>1211</v>
      </c>
      <c r="C37" s="3">
        <v>452</v>
      </c>
      <c r="D37" s="3">
        <v>124</v>
      </c>
    </row>
    <row r="38" spans="1:4" x14ac:dyDescent="0.3">
      <c r="A38" s="9" t="s">
        <v>41</v>
      </c>
      <c r="B38" s="2">
        <v>5094</v>
      </c>
      <c r="C38" s="2">
        <v>261</v>
      </c>
      <c r="D38" s="2">
        <v>427</v>
      </c>
    </row>
    <row r="39" spans="1:4" x14ac:dyDescent="0.3">
      <c r="A39" s="10" t="s">
        <v>42</v>
      </c>
      <c r="B39" s="3">
        <v>652</v>
      </c>
      <c r="C39" s="3">
        <v>134</v>
      </c>
      <c r="D39" s="3">
        <v>77</v>
      </c>
    </row>
    <row r="40" spans="1:4" x14ac:dyDescent="0.3">
      <c r="A40" s="13" t="s">
        <v>43</v>
      </c>
      <c r="B40" s="6">
        <v>0</v>
      </c>
      <c r="C40" s="6">
        <v>1</v>
      </c>
      <c r="D40" s="6">
        <v>0</v>
      </c>
    </row>
    <row r="41" spans="1:4" x14ac:dyDescent="0.3">
      <c r="A41" s="14" t="s">
        <v>44</v>
      </c>
      <c r="B41" s="7">
        <v>0</v>
      </c>
      <c r="C41" s="7">
        <v>0</v>
      </c>
      <c r="D41" s="7">
        <v>0</v>
      </c>
    </row>
    <row r="42" spans="1:4" x14ac:dyDescent="0.3">
      <c r="A42" s="13" t="s">
        <v>45</v>
      </c>
      <c r="B42" s="6">
        <v>1</v>
      </c>
      <c r="C42" s="6">
        <v>0</v>
      </c>
      <c r="D42" s="6">
        <v>1</v>
      </c>
    </row>
    <row r="43" spans="1:4" x14ac:dyDescent="0.3">
      <c r="A43" s="14" t="s">
        <v>46</v>
      </c>
      <c r="B43" s="7">
        <v>0</v>
      </c>
      <c r="C43" s="7">
        <v>0</v>
      </c>
      <c r="D43" s="7">
        <v>0</v>
      </c>
    </row>
    <row r="44" spans="1:4" x14ac:dyDescent="0.3">
      <c r="A44" s="9" t="s">
        <v>47</v>
      </c>
      <c r="B44" s="2">
        <v>214</v>
      </c>
      <c r="C44" s="2">
        <v>61</v>
      </c>
      <c r="D44" s="2">
        <v>71</v>
      </c>
    </row>
    <row r="45" spans="1:4" x14ac:dyDescent="0.3">
      <c r="A45" s="10" t="s">
        <v>48</v>
      </c>
      <c r="B45" s="3">
        <v>578</v>
      </c>
      <c r="C45" s="3">
        <v>137</v>
      </c>
      <c r="D45" s="3">
        <v>47</v>
      </c>
    </row>
    <row r="46" spans="1:4" x14ac:dyDescent="0.3">
      <c r="A46" s="9" t="s">
        <v>49</v>
      </c>
      <c r="B46" s="2">
        <v>2027</v>
      </c>
      <c r="C46" s="2">
        <v>475</v>
      </c>
      <c r="D46" s="2">
        <v>370</v>
      </c>
    </row>
    <row r="47" spans="1:4" x14ac:dyDescent="0.3">
      <c r="A47" s="10" t="s">
        <v>50</v>
      </c>
      <c r="B47" s="3">
        <v>6162</v>
      </c>
      <c r="C47" s="3">
        <v>364</v>
      </c>
      <c r="D47" s="3">
        <v>529</v>
      </c>
    </row>
    <row r="48" spans="1:4" x14ac:dyDescent="0.3">
      <c r="A48" s="9" t="s">
        <v>51</v>
      </c>
      <c r="B48" s="2">
        <v>2800</v>
      </c>
      <c r="C48" s="2">
        <v>405</v>
      </c>
      <c r="D48" s="2">
        <v>211</v>
      </c>
    </row>
    <row r="49" spans="1:4" x14ac:dyDescent="0.3">
      <c r="A49" s="10" t="s">
        <v>52</v>
      </c>
      <c r="B49" s="3">
        <v>912</v>
      </c>
      <c r="C49" s="3">
        <v>163</v>
      </c>
      <c r="D49" s="3">
        <v>201</v>
      </c>
    </row>
    <row r="50" spans="1:4" x14ac:dyDescent="0.3">
      <c r="A50" s="9" t="s">
        <v>53</v>
      </c>
      <c r="B50" s="2">
        <v>5410</v>
      </c>
      <c r="C50" s="2">
        <v>418</v>
      </c>
      <c r="D50" s="2">
        <v>762</v>
      </c>
    </row>
    <row r="51" spans="1:4" x14ac:dyDescent="0.3">
      <c r="A51" s="10" t="s">
        <v>54</v>
      </c>
      <c r="B51" s="3">
        <v>720</v>
      </c>
      <c r="C51" s="3">
        <v>112</v>
      </c>
      <c r="D51" s="3">
        <v>98</v>
      </c>
    </row>
    <row r="52" spans="1:4" x14ac:dyDescent="0.3">
      <c r="A52" s="9" t="s">
        <v>55</v>
      </c>
      <c r="B52" s="2">
        <v>1401</v>
      </c>
      <c r="C52" s="2">
        <v>294</v>
      </c>
      <c r="D52" s="2">
        <v>244</v>
      </c>
    </row>
    <row r="53" spans="1:4" x14ac:dyDescent="0.3">
      <c r="A53" s="10" t="s">
        <v>56</v>
      </c>
      <c r="B53" s="3">
        <v>188</v>
      </c>
      <c r="C53" s="3">
        <v>171</v>
      </c>
      <c r="D53" s="3">
        <v>39</v>
      </c>
    </row>
    <row r="54" spans="1:4" x14ac:dyDescent="0.3">
      <c r="A54" s="9" t="s">
        <v>57</v>
      </c>
      <c r="B54" s="2">
        <v>156</v>
      </c>
      <c r="C54" s="2">
        <v>179</v>
      </c>
      <c r="D54" s="2">
        <v>19</v>
      </c>
    </row>
    <row r="55" spans="1:4" x14ac:dyDescent="0.3">
      <c r="A55" s="10" t="s">
        <v>58</v>
      </c>
      <c r="B55" s="3">
        <v>951</v>
      </c>
      <c r="C55" s="3">
        <v>149</v>
      </c>
      <c r="D55" s="3">
        <v>251</v>
      </c>
    </row>
    <row r="56" spans="1:4" x14ac:dyDescent="0.3">
      <c r="A56" s="11" t="s">
        <v>59</v>
      </c>
      <c r="B56" s="4">
        <v>1368</v>
      </c>
      <c r="C56" s="4">
        <v>552</v>
      </c>
      <c r="D56" s="4">
        <v>174</v>
      </c>
    </row>
    <row r="57" spans="1:4" x14ac:dyDescent="0.3">
      <c r="A57" s="14" t="s">
        <v>60</v>
      </c>
      <c r="B57" s="7">
        <v>1</v>
      </c>
      <c r="C57" s="7">
        <v>1</v>
      </c>
      <c r="D57" s="7">
        <v>1</v>
      </c>
    </row>
    <row r="58" spans="1:4" x14ac:dyDescent="0.3">
      <c r="A58" s="15" t="s">
        <v>61</v>
      </c>
      <c r="B58" s="8">
        <v>108709</v>
      </c>
      <c r="C58" s="8">
        <v>13323</v>
      </c>
      <c r="D58" s="8">
        <v>12868</v>
      </c>
    </row>
  </sheetData>
  <autoFilter ref="A2:D2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46204</v>
      </c>
      <c r="C1" s="20" t="s">
        <v>5</v>
      </c>
      <c r="D1" s="21">
        <v>46234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v>6597</v>
      </c>
      <c r="C3" s="3">
        <v>885</v>
      </c>
      <c r="D3" s="3">
        <v>1180</v>
      </c>
    </row>
    <row r="4" spans="1:4" x14ac:dyDescent="0.3">
      <c r="A4" s="9" t="s">
        <v>7</v>
      </c>
      <c r="B4" s="2">
        <v>4214</v>
      </c>
      <c r="C4" s="2">
        <v>241</v>
      </c>
      <c r="D4" s="2">
        <v>602</v>
      </c>
    </row>
    <row r="5" spans="1:4" x14ac:dyDescent="0.3">
      <c r="A5" s="10" t="s">
        <v>8</v>
      </c>
      <c r="B5" s="3">
        <v>9964</v>
      </c>
      <c r="C5" s="3">
        <v>869</v>
      </c>
      <c r="D5" s="3">
        <v>904</v>
      </c>
    </row>
    <row r="6" spans="1:4" x14ac:dyDescent="0.3">
      <c r="A6" s="9" t="s">
        <v>9</v>
      </c>
      <c r="B6" s="2">
        <v>281</v>
      </c>
      <c r="C6" s="2">
        <v>75</v>
      </c>
      <c r="D6" s="2">
        <v>10</v>
      </c>
    </row>
    <row r="7" spans="1:4" x14ac:dyDescent="0.3">
      <c r="A7" s="10" t="s">
        <v>10</v>
      </c>
      <c r="B7" s="3">
        <v>7707</v>
      </c>
      <c r="C7" s="3">
        <v>730</v>
      </c>
      <c r="D7" s="3">
        <v>618</v>
      </c>
    </row>
    <row r="8" spans="1:4" x14ac:dyDescent="0.3">
      <c r="A8" s="9" t="s">
        <v>11</v>
      </c>
      <c r="B8" s="2">
        <v>720</v>
      </c>
      <c r="C8" s="2">
        <v>142</v>
      </c>
      <c r="D8" s="2">
        <v>210</v>
      </c>
    </row>
    <row r="9" spans="1:4" x14ac:dyDescent="0.3">
      <c r="A9" s="10" t="s">
        <v>12</v>
      </c>
      <c r="B9" s="3">
        <v>571</v>
      </c>
      <c r="C9" s="3">
        <v>135</v>
      </c>
      <c r="D9" s="3">
        <v>150</v>
      </c>
    </row>
    <row r="10" spans="1:4" x14ac:dyDescent="0.3">
      <c r="A10" s="9" t="s">
        <v>13</v>
      </c>
      <c r="B10" s="2">
        <v>476</v>
      </c>
      <c r="C10" s="2">
        <v>55</v>
      </c>
      <c r="D10" s="2">
        <v>18</v>
      </c>
    </row>
    <row r="11" spans="1:4" x14ac:dyDescent="0.3">
      <c r="A11" s="10" t="s">
        <v>14</v>
      </c>
      <c r="B11" s="3">
        <v>65</v>
      </c>
      <c r="C11" s="3">
        <v>22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52</v>
      </c>
      <c r="C13" s="4">
        <v>23</v>
      </c>
      <c r="D13" s="4">
        <v>8</v>
      </c>
    </row>
    <row r="14" spans="1:4" x14ac:dyDescent="0.3">
      <c r="A14" s="12" t="s">
        <v>17</v>
      </c>
      <c r="B14" s="5">
        <v>172</v>
      </c>
      <c r="C14" s="5">
        <v>114</v>
      </c>
      <c r="D14" s="5">
        <v>34</v>
      </c>
    </row>
    <row r="15" spans="1:4" x14ac:dyDescent="0.3">
      <c r="A15" s="11" t="s">
        <v>18</v>
      </c>
      <c r="B15" s="4">
        <v>740</v>
      </c>
      <c r="C15" s="4">
        <v>230</v>
      </c>
      <c r="D15" s="4">
        <v>112</v>
      </c>
    </row>
    <row r="16" spans="1:4" x14ac:dyDescent="0.3">
      <c r="A16" s="12" t="s">
        <v>19</v>
      </c>
      <c r="B16" s="5">
        <v>380</v>
      </c>
      <c r="C16" s="5">
        <v>229</v>
      </c>
      <c r="D16" s="5">
        <v>74</v>
      </c>
    </row>
    <row r="17" spans="1:4" x14ac:dyDescent="0.3">
      <c r="A17" s="10" t="s">
        <v>20</v>
      </c>
      <c r="B17" s="3">
        <v>331</v>
      </c>
      <c r="C17" s="3">
        <v>120</v>
      </c>
      <c r="D17" s="3">
        <v>42</v>
      </c>
    </row>
    <row r="18" spans="1:4" x14ac:dyDescent="0.3">
      <c r="A18" s="9" t="s">
        <v>21</v>
      </c>
      <c r="B18" s="2">
        <v>2466</v>
      </c>
      <c r="C18" s="2">
        <v>280</v>
      </c>
      <c r="D18" s="2">
        <v>511</v>
      </c>
    </row>
    <row r="19" spans="1:4" x14ac:dyDescent="0.3">
      <c r="A19" s="10" t="s">
        <v>22</v>
      </c>
      <c r="B19" s="3">
        <v>185</v>
      </c>
      <c r="C19" s="3">
        <v>79</v>
      </c>
      <c r="D19" s="3">
        <v>33</v>
      </c>
    </row>
    <row r="20" spans="1:4" x14ac:dyDescent="0.3">
      <c r="A20" s="9" t="s">
        <v>23</v>
      </c>
      <c r="B20" s="2">
        <v>2679</v>
      </c>
      <c r="C20" s="2">
        <v>255</v>
      </c>
      <c r="D20" s="2">
        <v>314</v>
      </c>
    </row>
    <row r="21" spans="1:4" x14ac:dyDescent="0.3">
      <c r="A21" s="10" t="s">
        <v>24</v>
      </c>
      <c r="B21" s="3">
        <v>12</v>
      </c>
      <c r="C21" s="3">
        <v>31</v>
      </c>
      <c r="D21" s="3">
        <v>0</v>
      </c>
    </row>
    <row r="22" spans="1:4" x14ac:dyDescent="0.3">
      <c r="A22" s="9" t="s">
        <v>25</v>
      </c>
      <c r="B22" s="2">
        <v>2246</v>
      </c>
      <c r="C22" s="2">
        <v>296</v>
      </c>
      <c r="D22" s="2">
        <v>417</v>
      </c>
    </row>
    <row r="23" spans="1:4" x14ac:dyDescent="0.3">
      <c r="A23" s="10" t="s">
        <v>26</v>
      </c>
      <c r="B23" s="3">
        <v>434</v>
      </c>
      <c r="C23" s="3">
        <v>164</v>
      </c>
      <c r="D23" s="3">
        <v>52</v>
      </c>
    </row>
    <row r="24" spans="1:4" x14ac:dyDescent="0.3">
      <c r="A24" s="9" t="s">
        <v>27</v>
      </c>
      <c r="B24" s="2">
        <v>3745</v>
      </c>
      <c r="C24" s="2">
        <v>375</v>
      </c>
      <c r="D24" s="2">
        <v>560</v>
      </c>
    </row>
    <row r="25" spans="1:4" x14ac:dyDescent="0.3">
      <c r="A25" s="10" t="s">
        <v>28</v>
      </c>
      <c r="B25" s="3">
        <v>14067</v>
      </c>
      <c r="C25" s="3">
        <v>955</v>
      </c>
      <c r="D25" s="3">
        <v>1317</v>
      </c>
    </row>
    <row r="26" spans="1:4" x14ac:dyDescent="0.3">
      <c r="A26" s="9" t="s">
        <v>29</v>
      </c>
      <c r="B26" s="2">
        <v>579</v>
      </c>
      <c r="C26" s="2">
        <v>257</v>
      </c>
      <c r="D26" s="2">
        <v>136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755</v>
      </c>
      <c r="C28" s="2">
        <v>145</v>
      </c>
      <c r="D28" s="2">
        <v>160</v>
      </c>
    </row>
    <row r="29" spans="1:4" x14ac:dyDescent="0.3">
      <c r="A29" s="10" t="s">
        <v>32</v>
      </c>
      <c r="B29" s="3">
        <v>528</v>
      </c>
      <c r="C29" s="3">
        <v>74</v>
      </c>
      <c r="D29" s="3">
        <v>125</v>
      </c>
    </row>
    <row r="30" spans="1:4" x14ac:dyDescent="0.3">
      <c r="A30" s="9" t="s">
        <v>33</v>
      </c>
      <c r="B30" s="2">
        <v>3439</v>
      </c>
      <c r="C30" s="2">
        <v>348</v>
      </c>
      <c r="D30" s="2">
        <v>612</v>
      </c>
    </row>
    <row r="31" spans="1:4" x14ac:dyDescent="0.3">
      <c r="A31" s="10" t="s">
        <v>34</v>
      </c>
      <c r="B31" s="3">
        <v>104</v>
      </c>
      <c r="C31" s="3">
        <v>14</v>
      </c>
      <c r="D31" s="3">
        <v>42</v>
      </c>
    </row>
    <row r="32" spans="1:4" x14ac:dyDescent="0.3">
      <c r="A32" s="9" t="s">
        <v>35</v>
      </c>
      <c r="B32" s="2">
        <v>318</v>
      </c>
      <c r="C32" s="2">
        <v>283</v>
      </c>
      <c r="D32" s="2">
        <v>40</v>
      </c>
    </row>
    <row r="33" spans="1:4" x14ac:dyDescent="0.3">
      <c r="A33" s="10" t="s">
        <v>36</v>
      </c>
      <c r="B33" s="3">
        <v>2060</v>
      </c>
      <c r="C33" s="3">
        <v>358</v>
      </c>
      <c r="D33" s="3">
        <v>400</v>
      </c>
    </row>
    <row r="34" spans="1:4" x14ac:dyDescent="0.3">
      <c r="A34" s="9" t="s">
        <v>37</v>
      </c>
      <c r="B34" s="2">
        <v>1518</v>
      </c>
      <c r="C34" s="2">
        <v>268</v>
      </c>
      <c r="D34" s="2">
        <v>235</v>
      </c>
    </row>
    <row r="35" spans="1:4" x14ac:dyDescent="0.3">
      <c r="A35" s="10" t="s">
        <v>38</v>
      </c>
      <c r="B35" s="3">
        <v>818</v>
      </c>
      <c r="C35" s="3">
        <v>99</v>
      </c>
      <c r="D35" s="3">
        <v>134</v>
      </c>
    </row>
    <row r="36" spans="1:4" x14ac:dyDescent="0.3">
      <c r="A36" s="9" t="s">
        <v>39</v>
      </c>
      <c r="B36" s="2">
        <v>8327</v>
      </c>
      <c r="C36" s="2">
        <v>1211</v>
      </c>
      <c r="D36" s="2">
        <v>877</v>
      </c>
    </row>
    <row r="37" spans="1:4" x14ac:dyDescent="0.3">
      <c r="A37" s="10" t="s">
        <v>40</v>
      </c>
      <c r="B37" s="3">
        <v>1090</v>
      </c>
      <c r="C37" s="3">
        <v>437</v>
      </c>
      <c r="D37" s="3">
        <v>138</v>
      </c>
    </row>
    <row r="38" spans="1:4" x14ac:dyDescent="0.3">
      <c r="A38" s="9" t="s">
        <v>41</v>
      </c>
      <c r="B38" s="2">
        <v>4871</v>
      </c>
      <c r="C38" s="2">
        <v>180</v>
      </c>
      <c r="D38" s="2">
        <v>457</v>
      </c>
    </row>
    <row r="39" spans="1:4" x14ac:dyDescent="0.3">
      <c r="A39" s="10" t="s">
        <v>42</v>
      </c>
      <c r="B39" s="3">
        <v>434</v>
      </c>
      <c r="C39" s="3">
        <v>97</v>
      </c>
      <c r="D39" s="3">
        <v>23</v>
      </c>
    </row>
    <row r="40" spans="1:4" x14ac:dyDescent="0.3">
      <c r="A40" s="13" t="s">
        <v>43</v>
      </c>
      <c r="B40" s="6">
        <v>0</v>
      </c>
      <c r="C40" s="6">
        <v>1</v>
      </c>
      <c r="D40" s="6">
        <v>0</v>
      </c>
    </row>
    <row r="41" spans="1:4" x14ac:dyDescent="0.3">
      <c r="A41" s="14" t="s">
        <v>44</v>
      </c>
      <c r="B41" s="7">
        <v>0</v>
      </c>
      <c r="C41" s="7">
        <v>0</v>
      </c>
      <c r="D41" s="7">
        <v>0</v>
      </c>
    </row>
    <row r="42" spans="1:4" x14ac:dyDescent="0.3">
      <c r="A42" s="13" t="s">
        <v>45</v>
      </c>
      <c r="B42" s="6">
        <v>0</v>
      </c>
      <c r="C42" s="6">
        <v>0</v>
      </c>
      <c r="D42" s="6">
        <v>0</v>
      </c>
    </row>
    <row r="43" spans="1:4" x14ac:dyDescent="0.3">
      <c r="A43" s="14" t="s">
        <v>46</v>
      </c>
      <c r="B43" s="7">
        <v>0</v>
      </c>
      <c r="C43" s="7">
        <v>0</v>
      </c>
      <c r="D43" s="7">
        <v>0</v>
      </c>
    </row>
    <row r="44" spans="1:4" x14ac:dyDescent="0.3">
      <c r="A44" s="9" t="s">
        <v>47</v>
      </c>
      <c r="B44" s="2">
        <v>236</v>
      </c>
      <c r="C44" s="2">
        <v>64</v>
      </c>
      <c r="D44" s="2">
        <v>109</v>
      </c>
    </row>
    <row r="45" spans="1:4" x14ac:dyDescent="0.3">
      <c r="A45" s="10" t="s">
        <v>48</v>
      </c>
      <c r="B45" s="3">
        <v>482</v>
      </c>
      <c r="C45" s="3">
        <v>150</v>
      </c>
      <c r="D45" s="3">
        <v>36</v>
      </c>
    </row>
    <row r="46" spans="1:4" x14ac:dyDescent="0.3">
      <c r="A46" s="9" t="s">
        <v>49</v>
      </c>
      <c r="B46" s="2">
        <v>2216</v>
      </c>
      <c r="C46" s="2">
        <v>476</v>
      </c>
      <c r="D46" s="2">
        <v>353</v>
      </c>
    </row>
    <row r="47" spans="1:4" x14ac:dyDescent="0.3">
      <c r="A47" s="10" t="s">
        <v>50</v>
      </c>
      <c r="B47" s="3">
        <v>4747</v>
      </c>
      <c r="C47" s="3">
        <v>484</v>
      </c>
      <c r="D47" s="3">
        <v>553</v>
      </c>
    </row>
    <row r="48" spans="1:4" x14ac:dyDescent="0.3">
      <c r="A48" s="9" t="s">
        <v>51</v>
      </c>
      <c r="B48" s="2">
        <v>2436</v>
      </c>
      <c r="C48" s="2">
        <v>416</v>
      </c>
      <c r="D48" s="2">
        <v>185</v>
      </c>
    </row>
    <row r="49" spans="1:4" x14ac:dyDescent="0.3">
      <c r="A49" s="10" t="s">
        <v>52</v>
      </c>
      <c r="B49" s="3">
        <v>1030</v>
      </c>
      <c r="C49" s="3">
        <v>128</v>
      </c>
      <c r="D49" s="3">
        <v>181</v>
      </c>
    </row>
    <row r="50" spans="1:4" x14ac:dyDescent="0.3">
      <c r="A50" s="9" t="s">
        <v>53</v>
      </c>
      <c r="B50" s="2">
        <v>4659</v>
      </c>
      <c r="C50" s="2">
        <v>383</v>
      </c>
      <c r="D50" s="2">
        <v>695</v>
      </c>
    </row>
    <row r="51" spans="1:4" x14ac:dyDescent="0.3">
      <c r="A51" s="10" t="s">
        <v>54</v>
      </c>
      <c r="B51" s="3">
        <v>450</v>
      </c>
      <c r="C51" s="3">
        <v>76</v>
      </c>
      <c r="D51" s="3">
        <v>77</v>
      </c>
    </row>
    <row r="52" spans="1:4" x14ac:dyDescent="0.3">
      <c r="A52" s="9" t="s">
        <v>55</v>
      </c>
      <c r="B52" s="2">
        <v>1134</v>
      </c>
      <c r="C52" s="2">
        <v>250</v>
      </c>
      <c r="D52" s="2">
        <v>250</v>
      </c>
    </row>
    <row r="53" spans="1:4" x14ac:dyDescent="0.3">
      <c r="A53" s="10" t="s">
        <v>56</v>
      </c>
      <c r="B53" s="3">
        <v>134</v>
      </c>
      <c r="C53" s="3">
        <v>141</v>
      </c>
      <c r="D53" s="3">
        <v>28</v>
      </c>
    </row>
    <row r="54" spans="1:4" x14ac:dyDescent="0.3">
      <c r="A54" s="9" t="s">
        <v>57</v>
      </c>
      <c r="B54" s="2">
        <v>133</v>
      </c>
      <c r="C54" s="2">
        <v>185</v>
      </c>
      <c r="D54" s="2">
        <v>24</v>
      </c>
    </row>
    <row r="55" spans="1:4" x14ac:dyDescent="0.3">
      <c r="A55" s="10" t="s">
        <v>58</v>
      </c>
      <c r="B55" s="3">
        <v>669</v>
      </c>
      <c r="C55" s="3">
        <v>180</v>
      </c>
      <c r="D55" s="3">
        <v>333</v>
      </c>
    </row>
    <row r="56" spans="1:4" x14ac:dyDescent="0.3">
      <c r="A56" s="11" t="s">
        <v>59</v>
      </c>
      <c r="B56" s="4">
        <v>1344</v>
      </c>
      <c r="C56" s="4">
        <v>551</v>
      </c>
      <c r="D56" s="4">
        <v>183</v>
      </c>
    </row>
    <row r="57" spans="1:4" x14ac:dyDescent="0.3">
      <c r="A57" s="14" t="s">
        <v>60</v>
      </c>
      <c r="B57" s="7">
        <v>0</v>
      </c>
      <c r="C57" s="7">
        <v>1</v>
      </c>
      <c r="D57" s="7">
        <v>0</v>
      </c>
    </row>
    <row r="58" spans="1:4" x14ac:dyDescent="0.3">
      <c r="A58" s="15" t="s">
        <v>61</v>
      </c>
      <c r="B58" s="8">
        <v>101271</v>
      </c>
      <c r="C58" s="8">
        <v>13010</v>
      </c>
      <c r="D58" s="8">
        <v>13369</v>
      </c>
    </row>
  </sheetData>
  <autoFilter ref="A2:D2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46235</v>
      </c>
      <c r="C1" s="20" t="s">
        <v>5</v>
      </c>
      <c r="D1" s="21">
        <v>46265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v>5873</v>
      </c>
      <c r="C3" s="3">
        <v>822</v>
      </c>
      <c r="D3" s="3">
        <v>1052</v>
      </c>
    </row>
    <row r="4" spans="1:4" x14ac:dyDescent="0.3">
      <c r="A4" s="9" t="s">
        <v>7</v>
      </c>
      <c r="B4" s="2">
        <v>3492</v>
      </c>
      <c r="C4" s="2">
        <v>238</v>
      </c>
      <c r="D4" s="2">
        <v>479</v>
      </c>
    </row>
    <row r="5" spans="1:4" x14ac:dyDescent="0.3">
      <c r="A5" s="10" t="s">
        <v>8</v>
      </c>
      <c r="B5" s="3">
        <v>8917</v>
      </c>
      <c r="C5" s="3">
        <v>962</v>
      </c>
      <c r="D5" s="3">
        <v>843</v>
      </c>
    </row>
    <row r="6" spans="1:4" x14ac:dyDescent="0.3">
      <c r="A6" s="9" t="s">
        <v>9</v>
      </c>
      <c r="B6" s="2">
        <v>179</v>
      </c>
      <c r="C6" s="2">
        <v>99</v>
      </c>
      <c r="D6" s="2">
        <v>12</v>
      </c>
    </row>
    <row r="7" spans="1:4" x14ac:dyDescent="0.3">
      <c r="A7" s="10" t="s">
        <v>10</v>
      </c>
      <c r="B7" s="3">
        <v>6153</v>
      </c>
      <c r="C7" s="3">
        <v>882</v>
      </c>
      <c r="D7" s="3">
        <v>701</v>
      </c>
    </row>
    <row r="8" spans="1:4" x14ac:dyDescent="0.3">
      <c r="A8" s="9" t="s">
        <v>11</v>
      </c>
      <c r="B8" s="2">
        <v>881</v>
      </c>
      <c r="C8" s="2">
        <v>141</v>
      </c>
      <c r="D8" s="2">
        <v>200</v>
      </c>
    </row>
    <row r="9" spans="1:4" x14ac:dyDescent="0.3">
      <c r="A9" s="10" t="s">
        <v>12</v>
      </c>
      <c r="B9" s="3">
        <v>451</v>
      </c>
      <c r="C9" s="3">
        <v>112</v>
      </c>
      <c r="D9" s="3">
        <v>93</v>
      </c>
    </row>
    <row r="10" spans="1:4" x14ac:dyDescent="0.3">
      <c r="A10" s="9" t="s">
        <v>13</v>
      </c>
      <c r="B10" s="2">
        <v>376</v>
      </c>
      <c r="C10" s="2">
        <v>35</v>
      </c>
      <c r="D10" s="2">
        <v>24</v>
      </c>
    </row>
    <row r="11" spans="1:4" x14ac:dyDescent="0.3">
      <c r="A11" s="10" t="s">
        <v>14</v>
      </c>
      <c r="B11" s="3">
        <v>50</v>
      </c>
      <c r="C11" s="3">
        <v>25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57</v>
      </c>
      <c r="C13" s="4">
        <v>49</v>
      </c>
      <c r="D13" s="4">
        <v>1</v>
      </c>
    </row>
    <row r="14" spans="1:4" x14ac:dyDescent="0.3">
      <c r="A14" s="12" t="s">
        <v>17</v>
      </c>
      <c r="B14" s="5">
        <v>187</v>
      </c>
      <c r="C14" s="5">
        <v>112</v>
      </c>
      <c r="D14" s="5">
        <v>41</v>
      </c>
    </row>
    <row r="15" spans="1:4" x14ac:dyDescent="0.3">
      <c r="A15" s="11" t="s">
        <v>18</v>
      </c>
      <c r="B15" s="4">
        <v>672</v>
      </c>
      <c r="C15" s="4">
        <v>241</v>
      </c>
      <c r="D15" s="4">
        <v>105</v>
      </c>
    </row>
    <row r="16" spans="1:4" x14ac:dyDescent="0.3">
      <c r="A16" s="12" t="s">
        <v>19</v>
      </c>
      <c r="B16" s="5">
        <v>313</v>
      </c>
      <c r="C16" s="5">
        <v>280</v>
      </c>
      <c r="D16" s="5">
        <v>44</v>
      </c>
    </row>
    <row r="17" spans="1:4" x14ac:dyDescent="0.3">
      <c r="A17" s="10" t="s">
        <v>20</v>
      </c>
      <c r="B17" s="3">
        <v>328</v>
      </c>
      <c r="C17" s="3">
        <v>120</v>
      </c>
      <c r="D17" s="3">
        <v>51</v>
      </c>
    </row>
    <row r="18" spans="1:4" x14ac:dyDescent="0.3">
      <c r="A18" s="9" t="s">
        <v>21</v>
      </c>
      <c r="B18" s="2">
        <v>2087</v>
      </c>
      <c r="C18" s="2">
        <v>417</v>
      </c>
      <c r="D18" s="2">
        <v>551</v>
      </c>
    </row>
    <row r="19" spans="1:4" x14ac:dyDescent="0.3">
      <c r="A19" s="10" t="s">
        <v>22</v>
      </c>
      <c r="B19" s="3">
        <v>138</v>
      </c>
      <c r="C19" s="3">
        <v>74</v>
      </c>
      <c r="D19" s="3">
        <v>39</v>
      </c>
    </row>
    <row r="20" spans="1:4" x14ac:dyDescent="0.3">
      <c r="A20" s="9" t="s">
        <v>23</v>
      </c>
      <c r="B20" s="2">
        <v>2227</v>
      </c>
      <c r="C20" s="2">
        <v>199</v>
      </c>
      <c r="D20" s="2">
        <v>337</v>
      </c>
    </row>
    <row r="21" spans="1:4" x14ac:dyDescent="0.3">
      <c r="A21" s="10" t="s">
        <v>24</v>
      </c>
      <c r="B21" s="3">
        <v>40</v>
      </c>
      <c r="C21" s="3">
        <v>33</v>
      </c>
      <c r="D21" s="3">
        <v>7</v>
      </c>
    </row>
    <row r="22" spans="1:4" x14ac:dyDescent="0.3">
      <c r="A22" s="9" t="s">
        <v>25</v>
      </c>
      <c r="B22" s="2">
        <v>2206</v>
      </c>
      <c r="C22" s="2">
        <v>303</v>
      </c>
      <c r="D22" s="2">
        <v>468</v>
      </c>
    </row>
    <row r="23" spans="1:4" x14ac:dyDescent="0.3">
      <c r="A23" s="10" t="s">
        <v>26</v>
      </c>
      <c r="B23" s="3">
        <v>303</v>
      </c>
      <c r="C23" s="3">
        <v>172</v>
      </c>
      <c r="D23" s="3">
        <v>55</v>
      </c>
    </row>
    <row r="24" spans="1:4" x14ac:dyDescent="0.3">
      <c r="A24" s="9" t="s">
        <v>27</v>
      </c>
      <c r="B24" s="2">
        <v>3256</v>
      </c>
      <c r="C24" s="2">
        <v>401</v>
      </c>
      <c r="D24" s="2">
        <v>614</v>
      </c>
    </row>
    <row r="25" spans="1:4" x14ac:dyDescent="0.3">
      <c r="A25" s="10" t="s">
        <v>28</v>
      </c>
      <c r="B25" s="3">
        <v>13704</v>
      </c>
      <c r="C25" s="3">
        <v>1105</v>
      </c>
      <c r="D25" s="3">
        <v>1427</v>
      </c>
    </row>
    <row r="26" spans="1:4" x14ac:dyDescent="0.3">
      <c r="A26" s="9" t="s">
        <v>29</v>
      </c>
      <c r="B26" s="2">
        <v>755</v>
      </c>
      <c r="C26" s="2">
        <v>291</v>
      </c>
      <c r="D26" s="2">
        <v>119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561</v>
      </c>
      <c r="C28" s="2">
        <v>143</v>
      </c>
      <c r="D28" s="2">
        <v>122</v>
      </c>
    </row>
    <row r="29" spans="1:4" x14ac:dyDescent="0.3">
      <c r="A29" s="10" t="s">
        <v>32</v>
      </c>
      <c r="B29" s="3">
        <v>476</v>
      </c>
      <c r="C29" s="3">
        <v>94</v>
      </c>
      <c r="D29" s="3">
        <v>142</v>
      </c>
    </row>
    <row r="30" spans="1:4" x14ac:dyDescent="0.3">
      <c r="A30" s="9" t="s">
        <v>33</v>
      </c>
      <c r="B30" s="2">
        <v>2181</v>
      </c>
      <c r="C30" s="2">
        <v>376</v>
      </c>
      <c r="D30" s="2">
        <v>443</v>
      </c>
    </row>
    <row r="31" spans="1:4" x14ac:dyDescent="0.3">
      <c r="A31" s="10" t="s">
        <v>34</v>
      </c>
      <c r="B31" s="3">
        <v>52</v>
      </c>
      <c r="C31" s="3">
        <v>16</v>
      </c>
      <c r="D31" s="3">
        <v>17</v>
      </c>
    </row>
    <row r="32" spans="1:4" x14ac:dyDescent="0.3">
      <c r="A32" s="9" t="s">
        <v>35</v>
      </c>
      <c r="B32" s="2">
        <v>184</v>
      </c>
      <c r="C32" s="2">
        <v>248</v>
      </c>
      <c r="D32" s="2">
        <v>13</v>
      </c>
    </row>
    <row r="33" spans="1:4" x14ac:dyDescent="0.3">
      <c r="A33" s="10" t="s">
        <v>36</v>
      </c>
      <c r="B33" s="3">
        <v>1855</v>
      </c>
      <c r="C33" s="3">
        <v>444</v>
      </c>
      <c r="D33" s="3">
        <v>394</v>
      </c>
    </row>
    <row r="34" spans="1:4" x14ac:dyDescent="0.3">
      <c r="A34" s="9" t="s">
        <v>37</v>
      </c>
      <c r="B34" s="2">
        <v>1337</v>
      </c>
      <c r="C34" s="2">
        <v>336</v>
      </c>
      <c r="D34" s="2">
        <v>265</v>
      </c>
    </row>
    <row r="35" spans="1:4" x14ac:dyDescent="0.3">
      <c r="A35" s="10" t="s">
        <v>38</v>
      </c>
      <c r="B35" s="3">
        <v>771</v>
      </c>
      <c r="C35" s="3">
        <v>112</v>
      </c>
      <c r="D35" s="3">
        <v>119</v>
      </c>
    </row>
    <row r="36" spans="1:4" x14ac:dyDescent="0.3">
      <c r="A36" s="9" t="s">
        <v>39</v>
      </c>
      <c r="B36" s="2">
        <v>7276</v>
      </c>
      <c r="C36" s="2">
        <v>1212</v>
      </c>
      <c r="D36" s="2">
        <v>1022</v>
      </c>
    </row>
    <row r="37" spans="1:4" x14ac:dyDescent="0.3">
      <c r="A37" s="10" t="s">
        <v>40</v>
      </c>
      <c r="B37" s="3">
        <v>860</v>
      </c>
      <c r="C37" s="3">
        <v>504</v>
      </c>
      <c r="D37" s="3">
        <v>148</v>
      </c>
    </row>
    <row r="38" spans="1:4" x14ac:dyDescent="0.3">
      <c r="A38" s="9" t="s">
        <v>41</v>
      </c>
      <c r="B38" s="2">
        <v>4036</v>
      </c>
      <c r="C38" s="2">
        <v>287</v>
      </c>
      <c r="D38" s="2">
        <v>475</v>
      </c>
    </row>
    <row r="39" spans="1:4" x14ac:dyDescent="0.3">
      <c r="A39" s="10" t="s">
        <v>42</v>
      </c>
      <c r="B39" s="3">
        <v>201</v>
      </c>
      <c r="C39" s="3">
        <v>162</v>
      </c>
      <c r="D39" s="3">
        <v>31</v>
      </c>
    </row>
    <row r="40" spans="1:4" x14ac:dyDescent="0.3">
      <c r="A40" s="13" t="s">
        <v>43</v>
      </c>
      <c r="B40" s="6">
        <v>538</v>
      </c>
      <c r="C40" s="6">
        <v>54</v>
      </c>
      <c r="D40" s="6">
        <v>4</v>
      </c>
    </row>
    <row r="41" spans="1:4" x14ac:dyDescent="0.3">
      <c r="A41" s="14" t="s">
        <v>44</v>
      </c>
      <c r="B41" s="7">
        <v>1671</v>
      </c>
      <c r="C41" s="7">
        <v>86</v>
      </c>
      <c r="D41" s="7">
        <v>9</v>
      </c>
    </row>
    <row r="42" spans="1:4" x14ac:dyDescent="0.3">
      <c r="A42" s="13" t="s">
        <v>45</v>
      </c>
      <c r="B42" s="6">
        <v>43</v>
      </c>
      <c r="C42" s="6">
        <v>18</v>
      </c>
      <c r="D42" s="6">
        <v>7</v>
      </c>
    </row>
    <row r="43" spans="1:4" x14ac:dyDescent="0.3">
      <c r="A43" s="14" t="s">
        <v>46</v>
      </c>
      <c r="B43" s="7">
        <v>348</v>
      </c>
      <c r="C43" s="7">
        <v>28</v>
      </c>
      <c r="D43" s="7">
        <v>6</v>
      </c>
    </row>
    <row r="44" spans="1:4" x14ac:dyDescent="0.3">
      <c r="A44" s="9" t="s">
        <v>47</v>
      </c>
      <c r="B44" s="2">
        <v>142</v>
      </c>
      <c r="C44" s="2">
        <v>83</v>
      </c>
      <c r="D44" s="2">
        <v>69</v>
      </c>
    </row>
    <row r="45" spans="1:4" x14ac:dyDescent="0.3">
      <c r="A45" s="10" t="s">
        <v>48</v>
      </c>
      <c r="B45" s="3">
        <v>255</v>
      </c>
      <c r="C45" s="3">
        <v>149</v>
      </c>
      <c r="D45" s="3">
        <v>43</v>
      </c>
    </row>
    <row r="46" spans="1:4" x14ac:dyDescent="0.3">
      <c r="A46" s="9" t="s">
        <v>49</v>
      </c>
      <c r="B46" s="2">
        <v>2096</v>
      </c>
      <c r="C46" s="2">
        <v>468</v>
      </c>
      <c r="D46" s="2">
        <v>455</v>
      </c>
    </row>
    <row r="47" spans="1:4" x14ac:dyDescent="0.3">
      <c r="A47" s="10" t="s">
        <v>50</v>
      </c>
      <c r="B47" s="3">
        <v>3826</v>
      </c>
      <c r="C47" s="3">
        <v>571</v>
      </c>
      <c r="D47" s="3">
        <v>606</v>
      </c>
    </row>
    <row r="48" spans="1:4" x14ac:dyDescent="0.3">
      <c r="A48" s="9" t="s">
        <v>51</v>
      </c>
      <c r="B48" s="2">
        <v>1676</v>
      </c>
      <c r="C48" s="2">
        <v>458</v>
      </c>
      <c r="D48" s="2">
        <v>167</v>
      </c>
    </row>
    <row r="49" spans="1:4" x14ac:dyDescent="0.3">
      <c r="A49" s="10" t="s">
        <v>52</v>
      </c>
      <c r="B49" s="3">
        <v>1192</v>
      </c>
      <c r="C49" s="3">
        <v>173</v>
      </c>
      <c r="D49" s="3">
        <v>311</v>
      </c>
    </row>
    <row r="50" spans="1:4" x14ac:dyDescent="0.3">
      <c r="A50" s="9" t="s">
        <v>53</v>
      </c>
      <c r="B50" s="2">
        <v>4243</v>
      </c>
      <c r="C50" s="2">
        <v>487</v>
      </c>
      <c r="D50" s="2">
        <v>624</v>
      </c>
    </row>
    <row r="51" spans="1:4" x14ac:dyDescent="0.3">
      <c r="A51" s="10" t="s">
        <v>54</v>
      </c>
      <c r="B51" s="3">
        <v>433</v>
      </c>
      <c r="C51" s="3">
        <v>134</v>
      </c>
      <c r="D51" s="3">
        <v>109</v>
      </c>
    </row>
    <row r="52" spans="1:4" x14ac:dyDescent="0.3">
      <c r="A52" s="9" t="s">
        <v>55</v>
      </c>
      <c r="B52" s="2">
        <v>1091</v>
      </c>
      <c r="C52" s="2">
        <v>316</v>
      </c>
      <c r="D52" s="2">
        <v>292</v>
      </c>
    </row>
    <row r="53" spans="1:4" x14ac:dyDescent="0.3">
      <c r="A53" s="10" t="s">
        <v>56</v>
      </c>
      <c r="B53" s="3">
        <v>104</v>
      </c>
      <c r="C53" s="3">
        <v>171</v>
      </c>
      <c r="D53" s="3">
        <v>58</v>
      </c>
    </row>
    <row r="54" spans="1:4" x14ac:dyDescent="0.3">
      <c r="A54" s="9" t="s">
        <v>57</v>
      </c>
      <c r="B54" s="2">
        <v>172</v>
      </c>
      <c r="C54" s="2">
        <v>181</v>
      </c>
      <c r="D54" s="2">
        <v>31</v>
      </c>
    </row>
    <row r="55" spans="1:4" x14ac:dyDescent="0.3">
      <c r="A55" s="10" t="s">
        <v>58</v>
      </c>
      <c r="B55" s="3">
        <v>794</v>
      </c>
      <c r="C55" s="3">
        <v>188</v>
      </c>
      <c r="D55" s="3">
        <v>298</v>
      </c>
    </row>
    <row r="56" spans="1:4" x14ac:dyDescent="0.3">
      <c r="A56" s="11" t="s">
        <v>59</v>
      </c>
      <c r="B56" s="4">
        <v>1229</v>
      </c>
      <c r="C56" s="4">
        <v>618</v>
      </c>
      <c r="D56" s="4">
        <v>145</v>
      </c>
    </row>
    <row r="57" spans="1:4" x14ac:dyDescent="0.3">
      <c r="A57" s="14" t="s">
        <v>60</v>
      </c>
      <c r="B57" s="7">
        <v>2600</v>
      </c>
      <c r="C57" s="7">
        <v>175</v>
      </c>
      <c r="D57" s="7">
        <v>18</v>
      </c>
    </row>
    <row r="58" spans="1:4" x14ac:dyDescent="0.3">
      <c r="A58" s="15" t="s">
        <v>61</v>
      </c>
      <c r="B58" s="8">
        <v>91059</v>
      </c>
      <c r="C58" s="8">
        <v>14612</v>
      </c>
      <c r="D58" s="8">
        <v>13543</v>
      </c>
    </row>
  </sheetData>
  <autoFilter ref="A2:D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>
        <v>46266</v>
      </c>
      <c r="C1" s="20" t="s">
        <v>5</v>
      </c>
      <c r="D1" s="21">
        <v>46295</v>
      </c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>
        <v>6368</v>
      </c>
      <c r="C3" s="3">
        <v>759</v>
      </c>
      <c r="D3" s="3">
        <v>1184</v>
      </c>
    </row>
    <row r="4" spans="1:4" x14ac:dyDescent="0.3">
      <c r="A4" s="9" t="s">
        <v>7</v>
      </c>
      <c r="B4" s="2">
        <v>3257</v>
      </c>
      <c r="C4" s="2">
        <v>265</v>
      </c>
      <c r="D4" s="2">
        <v>511</v>
      </c>
    </row>
    <row r="5" spans="1:4" x14ac:dyDescent="0.3">
      <c r="A5" s="10" t="s">
        <v>8</v>
      </c>
      <c r="B5" s="3">
        <v>8584</v>
      </c>
      <c r="C5" s="3">
        <v>869</v>
      </c>
      <c r="D5" s="3">
        <v>836</v>
      </c>
    </row>
    <row r="6" spans="1:4" x14ac:dyDescent="0.3">
      <c r="A6" s="9" t="s">
        <v>9</v>
      </c>
      <c r="B6" s="2">
        <v>101</v>
      </c>
      <c r="C6" s="2">
        <v>72</v>
      </c>
      <c r="D6" s="2">
        <v>19</v>
      </c>
    </row>
    <row r="7" spans="1:4" x14ac:dyDescent="0.3">
      <c r="A7" s="10" t="s">
        <v>10</v>
      </c>
      <c r="B7" s="3">
        <v>6009</v>
      </c>
      <c r="C7" s="3">
        <v>811</v>
      </c>
      <c r="D7" s="3">
        <v>791</v>
      </c>
    </row>
    <row r="8" spans="1:4" x14ac:dyDescent="0.3">
      <c r="A8" s="9" t="s">
        <v>11</v>
      </c>
      <c r="B8" s="2">
        <v>1133</v>
      </c>
      <c r="C8" s="2">
        <v>128</v>
      </c>
      <c r="D8" s="2">
        <v>247</v>
      </c>
    </row>
    <row r="9" spans="1:4" x14ac:dyDescent="0.3">
      <c r="A9" s="10" t="s">
        <v>12</v>
      </c>
      <c r="B9" s="3">
        <v>485</v>
      </c>
      <c r="C9" s="3">
        <v>113</v>
      </c>
      <c r="D9" s="3">
        <v>115</v>
      </c>
    </row>
    <row r="10" spans="1:4" x14ac:dyDescent="0.3">
      <c r="A10" s="9" t="s">
        <v>13</v>
      </c>
      <c r="B10" s="2">
        <v>282</v>
      </c>
      <c r="C10" s="2">
        <v>43</v>
      </c>
      <c r="D10" s="2">
        <v>21</v>
      </c>
    </row>
    <row r="11" spans="1:4" x14ac:dyDescent="0.3">
      <c r="A11" s="10" t="s">
        <v>14</v>
      </c>
      <c r="B11" s="3">
        <v>42</v>
      </c>
      <c r="C11" s="3">
        <v>19</v>
      </c>
      <c r="D11" s="3">
        <v>0</v>
      </c>
    </row>
    <row r="12" spans="1:4" x14ac:dyDescent="0.3">
      <c r="A12" s="9" t="s">
        <v>15</v>
      </c>
      <c r="B12" s="2">
        <v>0</v>
      </c>
      <c r="C12" s="2">
        <v>0</v>
      </c>
      <c r="D12" s="2">
        <v>0</v>
      </c>
    </row>
    <row r="13" spans="1:4" x14ac:dyDescent="0.3">
      <c r="A13" s="11" t="s">
        <v>16</v>
      </c>
      <c r="B13" s="4">
        <v>46</v>
      </c>
      <c r="C13" s="4">
        <v>55</v>
      </c>
      <c r="D13" s="4">
        <v>10</v>
      </c>
    </row>
    <row r="14" spans="1:4" x14ac:dyDescent="0.3">
      <c r="A14" s="12" t="s">
        <v>17</v>
      </c>
      <c r="B14" s="5">
        <v>110</v>
      </c>
      <c r="C14" s="5">
        <v>134</v>
      </c>
      <c r="D14" s="5">
        <v>33</v>
      </c>
    </row>
    <row r="15" spans="1:4" x14ac:dyDescent="0.3">
      <c r="A15" s="11" t="s">
        <v>18</v>
      </c>
      <c r="B15" s="4">
        <v>758</v>
      </c>
      <c r="C15" s="4">
        <v>238</v>
      </c>
      <c r="D15" s="4">
        <v>181</v>
      </c>
    </row>
    <row r="16" spans="1:4" x14ac:dyDescent="0.3">
      <c r="A16" s="12" t="s">
        <v>19</v>
      </c>
      <c r="B16" s="5">
        <v>228</v>
      </c>
      <c r="C16" s="5">
        <v>284</v>
      </c>
      <c r="D16" s="5">
        <v>58</v>
      </c>
    </row>
    <row r="17" spans="1:4" x14ac:dyDescent="0.3">
      <c r="A17" s="10" t="s">
        <v>20</v>
      </c>
      <c r="B17" s="3">
        <v>333</v>
      </c>
      <c r="C17" s="3">
        <v>174</v>
      </c>
      <c r="D17" s="3">
        <v>64</v>
      </c>
    </row>
    <row r="18" spans="1:4" x14ac:dyDescent="0.3">
      <c r="A18" s="9" t="s">
        <v>21</v>
      </c>
      <c r="B18" s="2">
        <v>2029</v>
      </c>
      <c r="C18" s="2">
        <v>298</v>
      </c>
      <c r="D18" s="2">
        <v>462</v>
      </c>
    </row>
    <row r="19" spans="1:4" x14ac:dyDescent="0.3">
      <c r="A19" s="10" t="s">
        <v>22</v>
      </c>
      <c r="B19" s="3">
        <v>199</v>
      </c>
      <c r="C19" s="3">
        <v>115</v>
      </c>
      <c r="D19" s="3">
        <v>65</v>
      </c>
    </row>
    <row r="20" spans="1:4" x14ac:dyDescent="0.3">
      <c r="A20" s="9" t="s">
        <v>23</v>
      </c>
      <c r="B20" s="2">
        <v>2523</v>
      </c>
      <c r="C20" s="2">
        <v>188</v>
      </c>
      <c r="D20" s="2">
        <v>383</v>
      </c>
    </row>
    <row r="21" spans="1:4" x14ac:dyDescent="0.3">
      <c r="A21" s="10" t="s">
        <v>24</v>
      </c>
      <c r="B21" s="3">
        <v>45</v>
      </c>
      <c r="C21" s="3">
        <v>38</v>
      </c>
      <c r="D21" s="3">
        <v>6</v>
      </c>
    </row>
    <row r="22" spans="1:4" x14ac:dyDescent="0.3">
      <c r="A22" s="9" t="s">
        <v>25</v>
      </c>
      <c r="B22" s="2">
        <v>2258</v>
      </c>
      <c r="C22" s="2">
        <v>390</v>
      </c>
      <c r="D22" s="2">
        <v>475</v>
      </c>
    </row>
    <row r="23" spans="1:4" x14ac:dyDescent="0.3">
      <c r="A23" s="10" t="s">
        <v>26</v>
      </c>
      <c r="B23" s="3">
        <v>380</v>
      </c>
      <c r="C23" s="3">
        <v>258</v>
      </c>
      <c r="D23" s="3">
        <v>57</v>
      </c>
    </row>
    <row r="24" spans="1:4" x14ac:dyDescent="0.3">
      <c r="A24" s="9" t="s">
        <v>27</v>
      </c>
      <c r="B24" s="2">
        <v>2872</v>
      </c>
      <c r="C24" s="2">
        <v>398</v>
      </c>
      <c r="D24" s="2">
        <v>651</v>
      </c>
    </row>
    <row r="25" spans="1:4" x14ac:dyDescent="0.3">
      <c r="A25" s="10" t="s">
        <v>28</v>
      </c>
      <c r="B25" s="3">
        <v>12913</v>
      </c>
      <c r="C25" s="3">
        <v>1030</v>
      </c>
      <c r="D25" s="3">
        <v>1354</v>
      </c>
    </row>
    <row r="26" spans="1:4" x14ac:dyDescent="0.3">
      <c r="A26" s="9" t="s">
        <v>29</v>
      </c>
      <c r="B26" s="2">
        <v>647</v>
      </c>
      <c r="C26" s="2">
        <v>223</v>
      </c>
      <c r="D26" s="2">
        <v>119</v>
      </c>
    </row>
    <row r="27" spans="1:4" x14ac:dyDescent="0.3">
      <c r="A27" s="10" t="s">
        <v>30</v>
      </c>
      <c r="B27" s="3">
        <v>0</v>
      </c>
      <c r="C27" s="3">
        <v>0</v>
      </c>
      <c r="D27" s="3">
        <v>0</v>
      </c>
    </row>
    <row r="28" spans="1:4" x14ac:dyDescent="0.3">
      <c r="A28" s="9" t="s">
        <v>31</v>
      </c>
      <c r="B28" s="2">
        <v>424</v>
      </c>
      <c r="C28" s="2">
        <v>201</v>
      </c>
      <c r="D28" s="2">
        <v>98</v>
      </c>
    </row>
    <row r="29" spans="1:4" x14ac:dyDescent="0.3">
      <c r="A29" s="10" t="s">
        <v>32</v>
      </c>
      <c r="B29" s="3">
        <v>794</v>
      </c>
      <c r="C29" s="3">
        <v>88</v>
      </c>
      <c r="D29" s="3">
        <v>183</v>
      </c>
    </row>
    <row r="30" spans="1:4" x14ac:dyDescent="0.3">
      <c r="A30" s="9" t="s">
        <v>33</v>
      </c>
      <c r="B30" s="2">
        <v>2601</v>
      </c>
      <c r="C30" s="2">
        <v>377</v>
      </c>
      <c r="D30" s="2">
        <v>452</v>
      </c>
    </row>
    <row r="31" spans="1:4" x14ac:dyDescent="0.3">
      <c r="A31" s="10" t="s">
        <v>34</v>
      </c>
      <c r="B31" s="3">
        <v>40</v>
      </c>
      <c r="C31" s="3">
        <v>18</v>
      </c>
      <c r="D31" s="3">
        <v>18</v>
      </c>
    </row>
    <row r="32" spans="1:4" x14ac:dyDescent="0.3">
      <c r="A32" s="9" t="s">
        <v>35</v>
      </c>
      <c r="B32" s="2">
        <v>258</v>
      </c>
      <c r="C32" s="2">
        <v>221</v>
      </c>
      <c r="D32" s="2">
        <v>46</v>
      </c>
    </row>
    <row r="33" spans="1:4" x14ac:dyDescent="0.3">
      <c r="A33" s="10" t="s">
        <v>36</v>
      </c>
      <c r="B33" s="3">
        <v>1947</v>
      </c>
      <c r="C33" s="3">
        <v>552</v>
      </c>
      <c r="D33" s="3">
        <v>436</v>
      </c>
    </row>
    <row r="34" spans="1:4" x14ac:dyDescent="0.3">
      <c r="A34" s="9" t="s">
        <v>37</v>
      </c>
      <c r="B34" s="2">
        <v>1143</v>
      </c>
      <c r="C34" s="2">
        <v>253</v>
      </c>
      <c r="D34" s="2">
        <v>209</v>
      </c>
    </row>
    <row r="35" spans="1:4" x14ac:dyDescent="0.3">
      <c r="A35" s="10" t="s">
        <v>38</v>
      </c>
      <c r="B35" s="3">
        <v>217</v>
      </c>
      <c r="C35" s="3">
        <v>7</v>
      </c>
      <c r="D35" s="3">
        <v>0</v>
      </c>
    </row>
    <row r="36" spans="1:4" x14ac:dyDescent="0.3">
      <c r="A36" s="9" t="s">
        <v>39</v>
      </c>
      <c r="B36" s="2">
        <v>6780</v>
      </c>
      <c r="C36" s="2">
        <v>1311</v>
      </c>
      <c r="D36" s="2">
        <v>864</v>
      </c>
    </row>
    <row r="37" spans="1:4" x14ac:dyDescent="0.3">
      <c r="A37" s="10" t="s">
        <v>40</v>
      </c>
      <c r="B37" s="3">
        <v>734</v>
      </c>
      <c r="C37" s="3">
        <v>429</v>
      </c>
      <c r="D37" s="3">
        <v>127</v>
      </c>
    </row>
    <row r="38" spans="1:4" x14ac:dyDescent="0.3">
      <c r="A38" s="9" t="s">
        <v>41</v>
      </c>
      <c r="B38" s="2">
        <v>3557</v>
      </c>
      <c r="C38" s="2">
        <v>332</v>
      </c>
      <c r="D38" s="2">
        <v>433</v>
      </c>
    </row>
    <row r="39" spans="1:4" x14ac:dyDescent="0.3">
      <c r="A39" s="10" t="s">
        <v>42</v>
      </c>
      <c r="B39" s="3">
        <v>303</v>
      </c>
      <c r="C39" s="3">
        <v>170</v>
      </c>
      <c r="D39" s="3">
        <v>32</v>
      </c>
    </row>
    <row r="40" spans="1:4" x14ac:dyDescent="0.3">
      <c r="A40" s="13" t="s">
        <v>43</v>
      </c>
      <c r="B40" s="6">
        <v>682</v>
      </c>
      <c r="C40" s="6">
        <v>123</v>
      </c>
      <c r="D40" s="6">
        <v>13</v>
      </c>
    </row>
    <row r="41" spans="1:4" x14ac:dyDescent="0.3">
      <c r="A41" s="14" t="s">
        <v>44</v>
      </c>
      <c r="B41" s="7">
        <v>2156</v>
      </c>
      <c r="C41" s="7">
        <v>154</v>
      </c>
      <c r="D41" s="7">
        <v>65</v>
      </c>
    </row>
    <row r="42" spans="1:4" x14ac:dyDescent="0.3">
      <c r="A42" s="13" t="s">
        <v>45</v>
      </c>
      <c r="B42" s="6">
        <v>37</v>
      </c>
      <c r="C42" s="6">
        <v>15</v>
      </c>
      <c r="D42" s="6">
        <v>9</v>
      </c>
    </row>
    <row r="43" spans="1:4" x14ac:dyDescent="0.3">
      <c r="A43" s="14" t="s">
        <v>46</v>
      </c>
      <c r="B43" s="7">
        <v>444</v>
      </c>
      <c r="C43" s="7">
        <v>39</v>
      </c>
      <c r="D43" s="7">
        <v>11</v>
      </c>
    </row>
    <row r="44" spans="1:4" x14ac:dyDescent="0.3">
      <c r="A44" s="9" t="s">
        <v>47</v>
      </c>
      <c r="B44" s="2">
        <v>247</v>
      </c>
      <c r="C44" s="2">
        <v>79</v>
      </c>
      <c r="D44" s="2">
        <v>143</v>
      </c>
    </row>
    <row r="45" spans="1:4" x14ac:dyDescent="0.3">
      <c r="A45" s="10" t="s">
        <v>48</v>
      </c>
      <c r="B45" s="3">
        <v>230</v>
      </c>
      <c r="C45" s="3">
        <v>166</v>
      </c>
      <c r="D45" s="3">
        <v>24</v>
      </c>
    </row>
    <row r="46" spans="1:4" x14ac:dyDescent="0.3">
      <c r="A46" s="9" t="s">
        <v>49</v>
      </c>
      <c r="B46" s="2">
        <v>2840</v>
      </c>
      <c r="C46" s="2">
        <v>465</v>
      </c>
      <c r="D46" s="2">
        <v>409</v>
      </c>
    </row>
    <row r="47" spans="1:4" x14ac:dyDescent="0.3">
      <c r="A47" s="10" t="s">
        <v>50</v>
      </c>
      <c r="B47" s="3">
        <v>3831</v>
      </c>
      <c r="C47" s="3">
        <v>598</v>
      </c>
      <c r="D47" s="3">
        <v>446</v>
      </c>
    </row>
    <row r="48" spans="1:4" x14ac:dyDescent="0.3">
      <c r="A48" s="9" t="s">
        <v>51</v>
      </c>
      <c r="B48" s="2">
        <v>1663</v>
      </c>
      <c r="C48" s="2">
        <v>405</v>
      </c>
      <c r="D48" s="2">
        <v>144</v>
      </c>
    </row>
    <row r="49" spans="1:4" x14ac:dyDescent="0.3">
      <c r="A49" s="10" t="s">
        <v>52</v>
      </c>
      <c r="B49" s="3">
        <v>1100</v>
      </c>
      <c r="C49" s="3">
        <v>145</v>
      </c>
      <c r="D49" s="3">
        <v>256</v>
      </c>
    </row>
    <row r="50" spans="1:4" x14ac:dyDescent="0.3">
      <c r="A50" s="9" t="s">
        <v>53</v>
      </c>
      <c r="B50" s="2">
        <v>4114</v>
      </c>
      <c r="C50" s="2">
        <v>420</v>
      </c>
      <c r="D50" s="2">
        <v>636</v>
      </c>
    </row>
    <row r="51" spans="1:4" x14ac:dyDescent="0.3">
      <c r="A51" s="10" t="s">
        <v>54</v>
      </c>
      <c r="B51" s="3">
        <v>488</v>
      </c>
      <c r="C51" s="3">
        <v>142</v>
      </c>
      <c r="D51" s="3">
        <v>139</v>
      </c>
    </row>
    <row r="52" spans="1:4" x14ac:dyDescent="0.3">
      <c r="A52" s="9" t="s">
        <v>55</v>
      </c>
      <c r="B52" s="2">
        <v>1018</v>
      </c>
      <c r="C52" s="2">
        <v>293</v>
      </c>
      <c r="D52" s="2">
        <v>213</v>
      </c>
    </row>
    <row r="53" spans="1:4" x14ac:dyDescent="0.3">
      <c r="A53" s="10" t="s">
        <v>56</v>
      </c>
      <c r="B53" s="3">
        <v>215</v>
      </c>
      <c r="C53" s="3">
        <v>199</v>
      </c>
      <c r="D53" s="3">
        <v>65</v>
      </c>
    </row>
    <row r="54" spans="1:4" x14ac:dyDescent="0.3">
      <c r="A54" s="9" t="s">
        <v>57</v>
      </c>
      <c r="B54" s="2">
        <v>226</v>
      </c>
      <c r="C54" s="2">
        <v>108</v>
      </c>
      <c r="D54" s="2">
        <v>20</v>
      </c>
    </row>
    <row r="55" spans="1:4" x14ac:dyDescent="0.3">
      <c r="A55" s="10" t="s">
        <v>58</v>
      </c>
      <c r="B55" s="3">
        <v>613</v>
      </c>
      <c r="C55" s="3">
        <v>196</v>
      </c>
      <c r="D55" s="3">
        <v>216</v>
      </c>
    </row>
    <row r="56" spans="1:4" x14ac:dyDescent="0.3">
      <c r="A56" s="11" t="s">
        <v>59</v>
      </c>
      <c r="B56" s="4">
        <v>1142</v>
      </c>
      <c r="C56" s="4">
        <v>662</v>
      </c>
      <c r="D56" s="4">
        <v>238</v>
      </c>
    </row>
    <row r="57" spans="1:4" x14ac:dyDescent="0.3">
      <c r="A57" s="14" t="s">
        <v>60</v>
      </c>
      <c r="B57" s="7">
        <v>3319</v>
      </c>
      <c r="C57" s="7">
        <v>318</v>
      </c>
      <c r="D57" s="7">
        <v>82</v>
      </c>
    </row>
    <row r="58" spans="1:4" x14ac:dyDescent="0.3">
      <c r="A58" s="15" t="s">
        <v>61</v>
      </c>
      <c r="B58" s="8">
        <v>90304</v>
      </c>
      <c r="C58" s="8">
        <v>14408</v>
      </c>
      <c r="D58" s="8">
        <v>13349</v>
      </c>
    </row>
  </sheetData>
  <autoFilter ref="A2:D2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/>
      <c r="C1" s="20" t="s">
        <v>5</v>
      </c>
      <c r="D1" s="21"/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/>
      <c r="C3" s="3"/>
      <c r="D3" s="3"/>
    </row>
    <row r="4" spans="1:4" x14ac:dyDescent="0.3">
      <c r="A4" s="9" t="s">
        <v>7</v>
      </c>
      <c r="B4" s="2"/>
      <c r="C4" s="2"/>
      <c r="D4" s="2"/>
    </row>
    <row r="5" spans="1:4" x14ac:dyDescent="0.3">
      <c r="A5" s="10" t="s">
        <v>8</v>
      </c>
      <c r="B5" s="3"/>
      <c r="C5" s="3"/>
      <c r="D5" s="3"/>
    </row>
    <row r="6" spans="1:4" x14ac:dyDescent="0.3">
      <c r="A6" s="9" t="s">
        <v>9</v>
      </c>
      <c r="B6" s="2"/>
      <c r="C6" s="2"/>
      <c r="D6" s="2"/>
    </row>
    <row r="7" spans="1:4" x14ac:dyDescent="0.3">
      <c r="A7" s="10" t="s">
        <v>10</v>
      </c>
      <c r="B7" s="3"/>
      <c r="C7" s="3"/>
      <c r="D7" s="3"/>
    </row>
    <row r="8" spans="1:4" x14ac:dyDescent="0.3">
      <c r="A8" s="9" t="s">
        <v>11</v>
      </c>
      <c r="B8" s="2"/>
      <c r="C8" s="2"/>
      <c r="D8" s="2"/>
    </row>
    <row r="9" spans="1:4" x14ac:dyDescent="0.3">
      <c r="A9" s="10" t="s">
        <v>12</v>
      </c>
      <c r="B9" s="3"/>
      <c r="C9" s="3"/>
      <c r="D9" s="3"/>
    </row>
    <row r="10" spans="1:4" x14ac:dyDescent="0.3">
      <c r="A10" s="9" t="s">
        <v>13</v>
      </c>
      <c r="B10" s="2"/>
      <c r="C10" s="2"/>
      <c r="D10" s="2"/>
    </row>
    <row r="11" spans="1:4" x14ac:dyDescent="0.3">
      <c r="A11" s="10" t="s">
        <v>14</v>
      </c>
      <c r="B11" s="3"/>
      <c r="C11" s="3"/>
      <c r="D11" s="3"/>
    </row>
    <row r="12" spans="1:4" x14ac:dyDescent="0.3">
      <c r="A12" s="9" t="s">
        <v>15</v>
      </c>
      <c r="B12" s="2"/>
      <c r="C12" s="2"/>
      <c r="D12" s="2"/>
    </row>
    <row r="13" spans="1:4" x14ac:dyDescent="0.3">
      <c r="A13" s="11" t="s">
        <v>16</v>
      </c>
      <c r="B13" s="4"/>
      <c r="C13" s="4"/>
      <c r="D13" s="4"/>
    </row>
    <row r="14" spans="1:4" x14ac:dyDescent="0.3">
      <c r="A14" s="12" t="s">
        <v>17</v>
      </c>
      <c r="B14" s="5"/>
      <c r="C14" s="5"/>
      <c r="D14" s="5"/>
    </row>
    <row r="15" spans="1:4" x14ac:dyDescent="0.3">
      <c r="A15" s="11" t="s">
        <v>18</v>
      </c>
      <c r="B15" s="4"/>
      <c r="C15" s="4"/>
      <c r="D15" s="4"/>
    </row>
    <row r="16" spans="1:4" x14ac:dyDescent="0.3">
      <c r="A16" s="12" t="s">
        <v>19</v>
      </c>
      <c r="B16" s="5"/>
      <c r="C16" s="5"/>
      <c r="D16" s="5"/>
    </row>
    <row r="17" spans="1:4" x14ac:dyDescent="0.3">
      <c r="A17" s="10" t="s">
        <v>20</v>
      </c>
      <c r="B17" s="3"/>
      <c r="C17" s="3"/>
      <c r="D17" s="3"/>
    </row>
    <row r="18" spans="1:4" x14ac:dyDescent="0.3">
      <c r="A18" s="9" t="s">
        <v>21</v>
      </c>
      <c r="B18" s="2"/>
      <c r="C18" s="2"/>
      <c r="D18" s="2"/>
    </row>
    <row r="19" spans="1:4" x14ac:dyDescent="0.3">
      <c r="A19" s="10" t="s">
        <v>22</v>
      </c>
      <c r="B19" s="3"/>
      <c r="C19" s="3"/>
      <c r="D19" s="3"/>
    </row>
    <row r="20" spans="1:4" x14ac:dyDescent="0.3">
      <c r="A20" s="9" t="s">
        <v>23</v>
      </c>
      <c r="B20" s="2"/>
      <c r="C20" s="2"/>
      <c r="D20" s="2"/>
    </row>
    <row r="21" spans="1:4" x14ac:dyDescent="0.3">
      <c r="A21" s="10" t="s">
        <v>24</v>
      </c>
      <c r="B21" s="3"/>
      <c r="C21" s="3"/>
      <c r="D21" s="3"/>
    </row>
    <row r="22" spans="1:4" x14ac:dyDescent="0.3">
      <c r="A22" s="9" t="s">
        <v>25</v>
      </c>
      <c r="B22" s="2"/>
      <c r="C22" s="2"/>
      <c r="D22" s="2"/>
    </row>
    <row r="23" spans="1:4" x14ac:dyDescent="0.3">
      <c r="A23" s="10" t="s">
        <v>26</v>
      </c>
      <c r="B23" s="3"/>
      <c r="C23" s="3"/>
      <c r="D23" s="3"/>
    </row>
    <row r="24" spans="1:4" x14ac:dyDescent="0.3">
      <c r="A24" s="9" t="s">
        <v>27</v>
      </c>
      <c r="B24" s="2"/>
      <c r="C24" s="2"/>
      <c r="D24" s="2"/>
    </row>
    <row r="25" spans="1:4" x14ac:dyDescent="0.3">
      <c r="A25" s="10" t="s">
        <v>28</v>
      </c>
      <c r="B25" s="3"/>
      <c r="C25" s="3"/>
      <c r="D25" s="3"/>
    </row>
    <row r="26" spans="1:4" x14ac:dyDescent="0.3">
      <c r="A26" s="9" t="s">
        <v>29</v>
      </c>
      <c r="B26" s="2"/>
      <c r="C26" s="2"/>
      <c r="D26" s="2"/>
    </row>
    <row r="27" spans="1:4" x14ac:dyDescent="0.3">
      <c r="A27" s="10" t="s">
        <v>30</v>
      </c>
      <c r="B27" s="3"/>
      <c r="C27" s="3"/>
      <c r="D27" s="3"/>
    </row>
    <row r="28" spans="1:4" x14ac:dyDescent="0.3">
      <c r="A28" s="9" t="s">
        <v>31</v>
      </c>
      <c r="B28" s="2"/>
      <c r="C28" s="2"/>
      <c r="D28" s="2"/>
    </row>
    <row r="29" spans="1:4" x14ac:dyDescent="0.3">
      <c r="A29" s="10" t="s">
        <v>32</v>
      </c>
      <c r="B29" s="3"/>
      <c r="C29" s="3"/>
      <c r="D29" s="3"/>
    </row>
    <row r="30" spans="1:4" x14ac:dyDescent="0.3">
      <c r="A30" s="9" t="s">
        <v>33</v>
      </c>
      <c r="B30" s="2"/>
      <c r="C30" s="2"/>
      <c r="D30" s="2"/>
    </row>
    <row r="31" spans="1:4" x14ac:dyDescent="0.3">
      <c r="A31" s="10" t="s">
        <v>34</v>
      </c>
      <c r="B31" s="3"/>
      <c r="C31" s="3"/>
      <c r="D31" s="3"/>
    </row>
    <row r="32" spans="1:4" x14ac:dyDescent="0.3">
      <c r="A32" s="9" t="s">
        <v>35</v>
      </c>
      <c r="B32" s="2"/>
      <c r="C32" s="2"/>
      <c r="D32" s="2"/>
    </row>
    <row r="33" spans="1:4" x14ac:dyDescent="0.3">
      <c r="A33" s="10" t="s">
        <v>36</v>
      </c>
      <c r="B33" s="3"/>
      <c r="C33" s="3"/>
      <c r="D33" s="3"/>
    </row>
    <row r="34" spans="1:4" x14ac:dyDescent="0.3">
      <c r="A34" s="9" t="s">
        <v>37</v>
      </c>
      <c r="B34" s="2"/>
      <c r="C34" s="2"/>
      <c r="D34" s="2"/>
    </row>
    <row r="35" spans="1:4" x14ac:dyDescent="0.3">
      <c r="A35" s="10" t="s">
        <v>38</v>
      </c>
      <c r="B35" s="3"/>
      <c r="C35" s="3"/>
      <c r="D35" s="3"/>
    </row>
    <row r="36" spans="1:4" x14ac:dyDescent="0.3">
      <c r="A36" s="9" t="s">
        <v>39</v>
      </c>
      <c r="B36" s="2"/>
      <c r="C36" s="2"/>
      <c r="D36" s="2"/>
    </row>
    <row r="37" spans="1:4" x14ac:dyDescent="0.3">
      <c r="A37" s="10" t="s">
        <v>40</v>
      </c>
      <c r="B37" s="3"/>
      <c r="C37" s="3"/>
      <c r="D37" s="3"/>
    </row>
    <row r="38" spans="1:4" x14ac:dyDescent="0.3">
      <c r="A38" s="9" t="s">
        <v>41</v>
      </c>
      <c r="B38" s="2"/>
      <c r="C38" s="2"/>
      <c r="D38" s="2"/>
    </row>
    <row r="39" spans="1:4" x14ac:dyDescent="0.3">
      <c r="A39" s="10" t="s">
        <v>42</v>
      </c>
      <c r="B39" s="3"/>
      <c r="C39" s="3"/>
      <c r="D39" s="3"/>
    </row>
    <row r="40" spans="1:4" x14ac:dyDescent="0.3">
      <c r="A40" s="13" t="s">
        <v>43</v>
      </c>
      <c r="B40" s="6"/>
      <c r="C40" s="6"/>
      <c r="D40" s="6"/>
    </row>
    <row r="41" spans="1:4" x14ac:dyDescent="0.3">
      <c r="A41" s="14" t="s">
        <v>44</v>
      </c>
      <c r="B41" s="7"/>
      <c r="C41" s="7"/>
      <c r="D41" s="7"/>
    </row>
    <row r="42" spans="1:4" x14ac:dyDescent="0.3">
      <c r="A42" s="13" t="s">
        <v>45</v>
      </c>
      <c r="B42" s="6"/>
      <c r="C42" s="6"/>
      <c r="D42" s="6"/>
    </row>
    <row r="43" spans="1:4" x14ac:dyDescent="0.3">
      <c r="A43" s="14" t="s">
        <v>46</v>
      </c>
      <c r="B43" s="7"/>
      <c r="C43" s="7"/>
      <c r="D43" s="7"/>
    </row>
    <row r="44" spans="1:4" x14ac:dyDescent="0.3">
      <c r="A44" s="9" t="s">
        <v>47</v>
      </c>
      <c r="B44" s="2"/>
      <c r="C44" s="2"/>
      <c r="D44" s="2"/>
    </row>
    <row r="45" spans="1:4" x14ac:dyDescent="0.3">
      <c r="A45" s="10" t="s">
        <v>48</v>
      </c>
      <c r="B45" s="3"/>
      <c r="C45" s="3"/>
      <c r="D45" s="3"/>
    </row>
    <row r="46" spans="1:4" x14ac:dyDescent="0.3">
      <c r="A46" s="9" t="s">
        <v>49</v>
      </c>
      <c r="B46" s="2"/>
      <c r="C46" s="2"/>
      <c r="D46" s="2"/>
    </row>
    <row r="47" spans="1:4" x14ac:dyDescent="0.3">
      <c r="A47" s="10" t="s">
        <v>50</v>
      </c>
      <c r="B47" s="3"/>
      <c r="C47" s="3"/>
      <c r="D47" s="3"/>
    </row>
    <row r="48" spans="1:4" x14ac:dyDescent="0.3">
      <c r="A48" s="9" t="s">
        <v>51</v>
      </c>
      <c r="B48" s="2"/>
      <c r="C48" s="2"/>
      <c r="D48" s="2"/>
    </row>
    <row r="49" spans="1:4" x14ac:dyDescent="0.3">
      <c r="A49" s="10" t="s">
        <v>52</v>
      </c>
      <c r="B49" s="3"/>
      <c r="C49" s="3"/>
      <c r="D49" s="3"/>
    </row>
    <row r="50" spans="1:4" x14ac:dyDescent="0.3">
      <c r="A50" s="9" t="s">
        <v>53</v>
      </c>
      <c r="B50" s="2"/>
      <c r="C50" s="2"/>
      <c r="D50" s="2"/>
    </row>
    <row r="51" spans="1:4" x14ac:dyDescent="0.3">
      <c r="A51" s="10" t="s">
        <v>54</v>
      </c>
      <c r="B51" s="3"/>
      <c r="C51" s="3"/>
      <c r="D51" s="3"/>
    </row>
    <row r="52" spans="1:4" x14ac:dyDescent="0.3">
      <c r="A52" s="9" t="s">
        <v>55</v>
      </c>
      <c r="B52" s="2"/>
      <c r="C52" s="2"/>
      <c r="D52" s="2"/>
    </row>
    <row r="53" spans="1:4" x14ac:dyDescent="0.3">
      <c r="A53" s="10" t="s">
        <v>56</v>
      </c>
      <c r="B53" s="3"/>
      <c r="C53" s="3"/>
      <c r="D53" s="3"/>
    </row>
    <row r="54" spans="1:4" x14ac:dyDescent="0.3">
      <c r="A54" s="9" t="s">
        <v>57</v>
      </c>
      <c r="B54" s="2"/>
      <c r="C54" s="2"/>
      <c r="D54" s="2"/>
    </row>
    <row r="55" spans="1:4" x14ac:dyDescent="0.3">
      <c r="A55" s="10" t="s">
        <v>58</v>
      </c>
      <c r="B55" s="3"/>
      <c r="C55" s="3"/>
      <c r="D55" s="3"/>
    </row>
    <row r="56" spans="1:4" x14ac:dyDescent="0.3">
      <c r="A56" s="11" t="s">
        <v>59</v>
      </c>
      <c r="B56" s="4"/>
      <c r="C56" s="4"/>
      <c r="D56" s="4"/>
    </row>
    <row r="57" spans="1:4" x14ac:dyDescent="0.3">
      <c r="A57" s="14" t="s">
        <v>60</v>
      </c>
      <c r="B57" s="7"/>
      <c r="C57" s="7"/>
      <c r="D57" s="7"/>
    </row>
    <row r="58" spans="1:4" x14ac:dyDescent="0.3">
      <c r="A58" s="15" t="s">
        <v>61</v>
      </c>
      <c r="B58" s="8"/>
      <c r="C58" s="8"/>
      <c r="D58" s="8"/>
    </row>
  </sheetData>
  <autoFilter ref="A2:D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8"/>
  <sheetViews>
    <sheetView zoomScale="85" zoomScaleNormal="85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/>
      <c r="C1" s="20" t="s">
        <v>5</v>
      </c>
      <c r="D1" s="21"/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/>
      <c r="C3" s="3"/>
      <c r="D3" s="3"/>
    </row>
    <row r="4" spans="1:4" x14ac:dyDescent="0.3">
      <c r="A4" s="9" t="s">
        <v>7</v>
      </c>
      <c r="B4" s="2"/>
      <c r="C4" s="2"/>
      <c r="D4" s="2"/>
    </row>
    <row r="5" spans="1:4" x14ac:dyDescent="0.3">
      <c r="A5" s="10" t="s">
        <v>8</v>
      </c>
      <c r="B5" s="3"/>
      <c r="C5" s="3"/>
      <c r="D5" s="3"/>
    </row>
    <row r="6" spans="1:4" x14ac:dyDescent="0.3">
      <c r="A6" s="9" t="s">
        <v>9</v>
      </c>
      <c r="B6" s="2"/>
      <c r="C6" s="2"/>
      <c r="D6" s="2"/>
    </row>
    <row r="7" spans="1:4" x14ac:dyDescent="0.3">
      <c r="A7" s="10" t="s">
        <v>10</v>
      </c>
      <c r="B7" s="3"/>
      <c r="C7" s="3"/>
      <c r="D7" s="3"/>
    </row>
    <row r="8" spans="1:4" x14ac:dyDescent="0.3">
      <c r="A8" s="9" t="s">
        <v>11</v>
      </c>
      <c r="B8" s="2"/>
      <c r="C8" s="2"/>
      <c r="D8" s="2"/>
    </row>
    <row r="9" spans="1:4" x14ac:dyDescent="0.3">
      <c r="A9" s="10" t="s">
        <v>12</v>
      </c>
      <c r="B9" s="3"/>
      <c r="C9" s="3"/>
      <c r="D9" s="3"/>
    </row>
    <row r="10" spans="1:4" x14ac:dyDescent="0.3">
      <c r="A10" s="9" t="s">
        <v>13</v>
      </c>
      <c r="B10" s="2"/>
      <c r="C10" s="2"/>
      <c r="D10" s="2"/>
    </row>
    <row r="11" spans="1:4" x14ac:dyDescent="0.3">
      <c r="A11" s="10" t="s">
        <v>14</v>
      </c>
      <c r="B11" s="3"/>
      <c r="C11" s="3"/>
      <c r="D11" s="3"/>
    </row>
    <row r="12" spans="1:4" x14ac:dyDescent="0.3">
      <c r="A12" s="9" t="s">
        <v>15</v>
      </c>
      <c r="B12" s="2"/>
      <c r="C12" s="2"/>
      <c r="D12" s="2"/>
    </row>
    <row r="13" spans="1:4" x14ac:dyDescent="0.3">
      <c r="A13" s="11" t="s">
        <v>16</v>
      </c>
      <c r="B13" s="4"/>
      <c r="C13" s="4"/>
      <c r="D13" s="4"/>
    </row>
    <row r="14" spans="1:4" x14ac:dyDescent="0.3">
      <c r="A14" s="12" t="s">
        <v>17</v>
      </c>
      <c r="B14" s="5"/>
      <c r="C14" s="5"/>
      <c r="D14" s="5"/>
    </row>
    <row r="15" spans="1:4" x14ac:dyDescent="0.3">
      <c r="A15" s="11" t="s">
        <v>18</v>
      </c>
      <c r="B15" s="4"/>
      <c r="C15" s="4"/>
      <c r="D15" s="4"/>
    </row>
    <row r="16" spans="1:4" x14ac:dyDescent="0.3">
      <c r="A16" s="12" t="s">
        <v>19</v>
      </c>
      <c r="B16" s="5"/>
      <c r="C16" s="5"/>
      <c r="D16" s="5"/>
    </row>
    <row r="17" spans="1:4" x14ac:dyDescent="0.3">
      <c r="A17" s="10" t="s">
        <v>20</v>
      </c>
      <c r="B17" s="3"/>
      <c r="C17" s="3"/>
      <c r="D17" s="3"/>
    </row>
    <row r="18" spans="1:4" x14ac:dyDescent="0.3">
      <c r="A18" s="9" t="s">
        <v>21</v>
      </c>
      <c r="B18" s="2"/>
      <c r="C18" s="2"/>
      <c r="D18" s="2"/>
    </row>
    <row r="19" spans="1:4" x14ac:dyDescent="0.3">
      <c r="A19" s="10" t="s">
        <v>22</v>
      </c>
      <c r="B19" s="3"/>
      <c r="C19" s="3"/>
      <c r="D19" s="3"/>
    </row>
    <row r="20" spans="1:4" x14ac:dyDescent="0.3">
      <c r="A20" s="9" t="s">
        <v>23</v>
      </c>
      <c r="B20" s="2"/>
      <c r="C20" s="2"/>
      <c r="D20" s="2"/>
    </row>
    <row r="21" spans="1:4" x14ac:dyDescent="0.3">
      <c r="A21" s="10" t="s">
        <v>24</v>
      </c>
      <c r="B21" s="3"/>
      <c r="C21" s="3"/>
      <c r="D21" s="3"/>
    </row>
    <row r="22" spans="1:4" x14ac:dyDescent="0.3">
      <c r="A22" s="9" t="s">
        <v>25</v>
      </c>
      <c r="B22" s="2"/>
      <c r="C22" s="2"/>
      <c r="D22" s="2"/>
    </row>
    <row r="23" spans="1:4" x14ac:dyDescent="0.3">
      <c r="A23" s="10" t="s">
        <v>26</v>
      </c>
      <c r="B23" s="3"/>
      <c r="C23" s="3"/>
      <c r="D23" s="3"/>
    </row>
    <row r="24" spans="1:4" x14ac:dyDescent="0.3">
      <c r="A24" s="9" t="s">
        <v>27</v>
      </c>
      <c r="B24" s="2"/>
      <c r="C24" s="2"/>
      <c r="D24" s="2"/>
    </row>
    <row r="25" spans="1:4" x14ac:dyDescent="0.3">
      <c r="A25" s="10" t="s">
        <v>28</v>
      </c>
      <c r="B25" s="3"/>
      <c r="C25" s="3"/>
      <c r="D25" s="3"/>
    </row>
    <row r="26" spans="1:4" x14ac:dyDescent="0.3">
      <c r="A26" s="9" t="s">
        <v>29</v>
      </c>
      <c r="B26" s="2"/>
      <c r="C26" s="2"/>
      <c r="D26" s="2"/>
    </row>
    <row r="27" spans="1:4" x14ac:dyDescent="0.3">
      <c r="A27" s="10" t="s">
        <v>30</v>
      </c>
      <c r="B27" s="3"/>
      <c r="C27" s="3"/>
      <c r="D27" s="3"/>
    </row>
    <row r="28" spans="1:4" x14ac:dyDescent="0.3">
      <c r="A28" s="9" t="s">
        <v>31</v>
      </c>
      <c r="B28" s="2"/>
      <c r="C28" s="2"/>
      <c r="D28" s="2"/>
    </row>
    <row r="29" spans="1:4" x14ac:dyDescent="0.3">
      <c r="A29" s="10" t="s">
        <v>32</v>
      </c>
      <c r="B29" s="3"/>
      <c r="C29" s="3"/>
      <c r="D29" s="3"/>
    </row>
    <row r="30" spans="1:4" x14ac:dyDescent="0.3">
      <c r="A30" s="9" t="s">
        <v>33</v>
      </c>
      <c r="B30" s="2"/>
      <c r="C30" s="2"/>
      <c r="D30" s="2"/>
    </row>
    <row r="31" spans="1:4" x14ac:dyDescent="0.3">
      <c r="A31" s="10" t="s">
        <v>34</v>
      </c>
      <c r="B31" s="3"/>
      <c r="C31" s="3"/>
      <c r="D31" s="3"/>
    </row>
    <row r="32" spans="1:4" x14ac:dyDescent="0.3">
      <c r="A32" s="9" t="s">
        <v>35</v>
      </c>
      <c r="B32" s="2"/>
      <c r="C32" s="2"/>
      <c r="D32" s="2"/>
    </row>
    <row r="33" spans="1:4" x14ac:dyDescent="0.3">
      <c r="A33" s="10" t="s">
        <v>36</v>
      </c>
      <c r="B33" s="3"/>
      <c r="C33" s="3"/>
      <c r="D33" s="3"/>
    </row>
    <row r="34" spans="1:4" x14ac:dyDescent="0.3">
      <c r="A34" s="9" t="s">
        <v>37</v>
      </c>
      <c r="B34" s="2"/>
      <c r="C34" s="2"/>
      <c r="D34" s="2"/>
    </row>
    <row r="35" spans="1:4" x14ac:dyDescent="0.3">
      <c r="A35" s="10" t="s">
        <v>38</v>
      </c>
      <c r="B35" s="3"/>
      <c r="C35" s="3"/>
      <c r="D35" s="3"/>
    </row>
    <row r="36" spans="1:4" x14ac:dyDescent="0.3">
      <c r="A36" s="9" t="s">
        <v>39</v>
      </c>
      <c r="B36" s="2"/>
      <c r="C36" s="2"/>
      <c r="D36" s="2"/>
    </row>
    <row r="37" spans="1:4" x14ac:dyDescent="0.3">
      <c r="A37" s="10" t="s">
        <v>40</v>
      </c>
      <c r="B37" s="3"/>
      <c r="C37" s="3"/>
      <c r="D37" s="3"/>
    </row>
    <row r="38" spans="1:4" x14ac:dyDescent="0.3">
      <c r="A38" s="9" t="s">
        <v>41</v>
      </c>
      <c r="B38" s="2"/>
      <c r="C38" s="2"/>
      <c r="D38" s="2"/>
    </row>
    <row r="39" spans="1:4" x14ac:dyDescent="0.3">
      <c r="A39" s="10" t="s">
        <v>42</v>
      </c>
      <c r="B39" s="3"/>
      <c r="C39" s="3"/>
      <c r="D39" s="3"/>
    </row>
    <row r="40" spans="1:4" x14ac:dyDescent="0.3">
      <c r="A40" s="13" t="s">
        <v>43</v>
      </c>
      <c r="B40" s="6"/>
      <c r="C40" s="6"/>
      <c r="D40" s="6"/>
    </row>
    <row r="41" spans="1:4" x14ac:dyDescent="0.3">
      <c r="A41" s="14" t="s">
        <v>44</v>
      </c>
      <c r="B41" s="7"/>
      <c r="C41" s="7"/>
      <c r="D41" s="7"/>
    </row>
    <row r="42" spans="1:4" x14ac:dyDescent="0.3">
      <c r="A42" s="13" t="s">
        <v>45</v>
      </c>
      <c r="B42" s="6"/>
      <c r="C42" s="6"/>
      <c r="D42" s="6"/>
    </row>
    <row r="43" spans="1:4" x14ac:dyDescent="0.3">
      <c r="A43" s="14" t="s">
        <v>46</v>
      </c>
      <c r="B43" s="7"/>
      <c r="C43" s="7"/>
      <c r="D43" s="7"/>
    </row>
    <row r="44" spans="1:4" x14ac:dyDescent="0.3">
      <c r="A44" s="9" t="s">
        <v>47</v>
      </c>
      <c r="B44" s="2"/>
      <c r="C44" s="2"/>
      <c r="D44" s="2"/>
    </row>
    <row r="45" spans="1:4" x14ac:dyDescent="0.3">
      <c r="A45" s="10" t="s">
        <v>48</v>
      </c>
      <c r="B45" s="3"/>
      <c r="C45" s="3"/>
      <c r="D45" s="3"/>
    </row>
    <row r="46" spans="1:4" x14ac:dyDescent="0.3">
      <c r="A46" s="9" t="s">
        <v>49</v>
      </c>
      <c r="B46" s="2"/>
      <c r="C46" s="2"/>
      <c r="D46" s="2"/>
    </row>
    <row r="47" spans="1:4" x14ac:dyDescent="0.3">
      <c r="A47" s="10" t="s">
        <v>50</v>
      </c>
      <c r="B47" s="3"/>
      <c r="C47" s="3"/>
      <c r="D47" s="3"/>
    </row>
    <row r="48" spans="1:4" x14ac:dyDescent="0.3">
      <c r="A48" s="9" t="s">
        <v>51</v>
      </c>
      <c r="B48" s="2"/>
      <c r="C48" s="2"/>
      <c r="D48" s="2"/>
    </row>
    <row r="49" spans="1:4" x14ac:dyDescent="0.3">
      <c r="A49" s="10" t="s">
        <v>52</v>
      </c>
      <c r="B49" s="3"/>
      <c r="C49" s="3"/>
      <c r="D49" s="3"/>
    </row>
    <row r="50" spans="1:4" x14ac:dyDescent="0.3">
      <c r="A50" s="9" t="s">
        <v>53</v>
      </c>
      <c r="B50" s="2"/>
      <c r="C50" s="2"/>
      <c r="D50" s="2"/>
    </row>
    <row r="51" spans="1:4" x14ac:dyDescent="0.3">
      <c r="A51" s="10" t="s">
        <v>54</v>
      </c>
      <c r="B51" s="3"/>
      <c r="C51" s="3"/>
      <c r="D51" s="3"/>
    </row>
    <row r="52" spans="1:4" x14ac:dyDescent="0.3">
      <c r="A52" s="9" t="s">
        <v>55</v>
      </c>
      <c r="B52" s="2"/>
      <c r="C52" s="2"/>
      <c r="D52" s="2"/>
    </row>
    <row r="53" spans="1:4" x14ac:dyDescent="0.3">
      <c r="A53" s="10" t="s">
        <v>56</v>
      </c>
      <c r="B53" s="3"/>
      <c r="C53" s="3"/>
      <c r="D53" s="3"/>
    </row>
    <row r="54" spans="1:4" x14ac:dyDescent="0.3">
      <c r="A54" s="9" t="s">
        <v>57</v>
      </c>
      <c r="B54" s="2"/>
      <c r="C54" s="2"/>
      <c r="D54" s="2"/>
    </row>
    <row r="55" spans="1:4" x14ac:dyDescent="0.3">
      <c r="A55" s="10" t="s">
        <v>58</v>
      </c>
      <c r="B55" s="3"/>
      <c r="C55" s="3"/>
      <c r="D55" s="3"/>
    </row>
    <row r="56" spans="1:4" x14ac:dyDescent="0.3">
      <c r="A56" s="11" t="s">
        <v>59</v>
      </c>
      <c r="B56" s="4"/>
      <c r="C56" s="4"/>
      <c r="D56" s="4"/>
    </row>
    <row r="57" spans="1:4" x14ac:dyDescent="0.3">
      <c r="A57" s="14" t="s">
        <v>60</v>
      </c>
      <c r="B57" s="7"/>
      <c r="C57" s="7"/>
      <c r="D57" s="7"/>
    </row>
    <row r="58" spans="1:4" x14ac:dyDescent="0.3">
      <c r="A58" s="15" t="s">
        <v>61</v>
      </c>
      <c r="B58" s="8"/>
      <c r="C58" s="8"/>
      <c r="D58" s="8"/>
    </row>
  </sheetData>
  <autoFilter ref="A2:D2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8"/>
  <sheetViews>
    <sheetView zoomScale="85" zoomScaleNormal="85" workbookViewId="0">
      <pane xSplit="1" ySplit="2" topLeftCell="B3" activePane="bottomRight" state="frozen"/>
      <selection activeCell="C9" sqref="C9"/>
      <selection pane="topRight" activeCell="C9" sqref="C9"/>
      <selection pane="bottomLeft" activeCell="C9" sqref="C9"/>
      <selection pane="bottomRight"/>
    </sheetView>
  </sheetViews>
  <sheetFormatPr defaultRowHeight="14.4" x14ac:dyDescent="0.3"/>
  <cols>
    <col min="1" max="1" width="50.6640625" style="1" customWidth="1"/>
    <col min="2" max="4" width="20.6640625" customWidth="1"/>
  </cols>
  <sheetData>
    <row r="1" spans="1:4" x14ac:dyDescent="0.3">
      <c r="A1" s="18" t="s">
        <v>4</v>
      </c>
      <c r="B1" s="19"/>
      <c r="C1" s="20" t="s">
        <v>5</v>
      </c>
      <c r="D1" s="21"/>
    </row>
    <row r="2" spans="1:4" x14ac:dyDescent="0.3">
      <c r="A2" s="16" t="s">
        <v>0</v>
      </c>
      <c r="B2" s="17" t="s">
        <v>1</v>
      </c>
      <c r="C2" s="17" t="s">
        <v>2</v>
      </c>
      <c r="D2" s="17" t="s">
        <v>3</v>
      </c>
    </row>
    <row r="3" spans="1:4" x14ac:dyDescent="0.3">
      <c r="A3" s="10" t="s">
        <v>6</v>
      </c>
      <c r="B3" s="3"/>
      <c r="C3" s="3"/>
      <c r="D3" s="3"/>
    </row>
    <row r="4" spans="1:4" x14ac:dyDescent="0.3">
      <c r="A4" s="9" t="s">
        <v>7</v>
      </c>
      <c r="B4" s="2"/>
      <c r="C4" s="2"/>
      <c r="D4" s="2"/>
    </row>
    <row r="5" spans="1:4" x14ac:dyDescent="0.3">
      <c r="A5" s="10" t="s">
        <v>8</v>
      </c>
      <c r="B5" s="3"/>
      <c r="C5" s="3"/>
      <c r="D5" s="3"/>
    </row>
    <row r="6" spans="1:4" x14ac:dyDescent="0.3">
      <c r="A6" s="9" t="s">
        <v>9</v>
      </c>
      <c r="B6" s="2"/>
      <c r="C6" s="2"/>
      <c r="D6" s="2"/>
    </row>
    <row r="7" spans="1:4" x14ac:dyDescent="0.3">
      <c r="A7" s="10" t="s">
        <v>10</v>
      </c>
      <c r="B7" s="3"/>
      <c r="C7" s="3"/>
      <c r="D7" s="3"/>
    </row>
    <row r="8" spans="1:4" x14ac:dyDescent="0.3">
      <c r="A8" s="9" t="s">
        <v>11</v>
      </c>
      <c r="B8" s="2"/>
      <c r="C8" s="2"/>
      <c r="D8" s="2"/>
    </row>
    <row r="9" spans="1:4" x14ac:dyDescent="0.3">
      <c r="A9" s="10" t="s">
        <v>12</v>
      </c>
      <c r="B9" s="3"/>
      <c r="C9" s="3"/>
      <c r="D9" s="3"/>
    </row>
    <row r="10" spans="1:4" x14ac:dyDescent="0.3">
      <c r="A10" s="9" t="s">
        <v>13</v>
      </c>
      <c r="B10" s="2"/>
      <c r="C10" s="2"/>
      <c r="D10" s="2"/>
    </row>
    <row r="11" spans="1:4" x14ac:dyDescent="0.3">
      <c r="A11" s="10" t="s">
        <v>14</v>
      </c>
      <c r="B11" s="3"/>
      <c r="C11" s="3"/>
      <c r="D11" s="3"/>
    </row>
    <row r="12" spans="1:4" x14ac:dyDescent="0.3">
      <c r="A12" s="9" t="s">
        <v>15</v>
      </c>
      <c r="B12" s="2"/>
      <c r="C12" s="2"/>
      <c r="D12" s="2"/>
    </row>
    <row r="13" spans="1:4" x14ac:dyDescent="0.3">
      <c r="A13" s="11" t="s">
        <v>16</v>
      </c>
      <c r="B13" s="4"/>
      <c r="C13" s="4"/>
      <c r="D13" s="4"/>
    </row>
    <row r="14" spans="1:4" x14ac:dyDescent="0.3">
      <c r="A14" s="12" t="s">
        <v>17</v>
      </c>
      <c r="B14" s="5"/>
      <c r="C14" s="5"/>
      <c r="D14" s="5"/>
    </row>
    <row r="15" spans="1:4" x14ac:dyDescent="0.3">
      <c r="A15" s="11" t="s">
        <v>18</v>
      </c>
      <c r="B15" s="4"/>
      <c r="C15" s="4"/>
      <c r="D15" s="4"/>
    </row>
    <row r="16" spans="1:4" x14ac:dyDescent="0.3">
      <c r="A16" s="12" t="s">
        <v>19</v>
      </c>
      <c r="B16" s="5"/>
      <c r="C16" s="5"/>
      <c r="D16" s="5"/>
    </row>
    <row r="17" spans="1:4" x14ac:dyDescent="0.3">
      <c r="A17" s="10" t="s">
        <v>20</v>
      </c>
      <c r="B17" s="3"/>
      <c r="C17" s="3"/>
      <c r="D17" s="3"/>
    </row>
    <row r="18" spans="1:4" x14ac:dyDescent="0.3">
      <c r="A18" s="9" t="s">
        <v>21</v>
      </c>
      <c r="B18" s="2"/>
      <c r="C18" s="2"/>
      <c r="D18" s="2"/>
    </row>
    <row r="19" spans="1:4" x14ac:dyDescent="0.3">
      <c r="A19" s="10" t="s">
        <v>22</v>
      </c>
      <c r="B19" s="3"/>
      <c r="C19" s="3"/>
      <c r="D19" s="3"/>
    </row>
    <row r="20" spans="1:4" x14ac:dyDescent="0.3">
      <c r="A20" s="9" t="s">
        <v>23</v>
      </c>
      <c r="B20" s="2"/>
      <c r="C20" s="2"/>
      <c r="D20" s="2"/>
    </row>
    <row r="21" spans="1:4" x14ac:dyDescent="0.3">
      <c r="A21" s="10" t="s">
        <v>24</v>
      </c>
      <c r="B21" s="3"/>
      <c r="C21" s="3"/>
      <c r="D21" s="3"/>
    </row>
    <row r="22" spans="1:4" x14ac:dyDescent="0.3">
      <c r="A22" s="9" t="s">
        <v>25</v>
      </c>
      <c r="B22" s="2"/>
      <c r="C22" s="2"/>
      <c r="D22" s="2"/>
    </row>
    <row r="23" spans="1:4" x14ac:dyDescent="0.3">
      <c r="A23" s="10" t="s">
        <v>26</v>
      </c>
      <c r="B23" s="3"/>
      <c r="C23" s="3"/>
      <c r="D23" s="3"/>
    </row>
    <row r="24" spans="1:4" x14ac:dyDescent="0.3">
      <c r="A24" s="9" t="s">
        <v>27</v>
      </c>
      <c r="B24" s="2"/>
      <c r="C24" s="2"/>
      <c r="D24" s="2"/>
    </row>
    <row r="25" spans="1:4" x14ac:dyDescent="0.3">
      <c r="A25" s="10" t="s">
        <v>28</v>
      </c>
      <c r="B25" s="3"/>
      <c r="C25" s="3"/>
      <c r="D25" s="3"/>
    </row>
    <row r="26" spans="1:4" x14ac:dyDescent="0.3">
      <c r="A26" s="9" t="s">
        <v>29</v>
      </c>
      <c r="B26" s="2"/>
      <c r="C26" s="2"/>
      <c r="D26" s="2"/>
    </row>
    <row r="27" spans="1:4" x14ac:dyDescent="0.3">
      <c r="A27" s="10" t="s">
        <v>30</v>
      </c>
      <c r="B27" s="3"/>
      <c r="C27" s="3"/>
      <c r="D27" s="3"/>
    </row>
    <row r="28" spans="1:4" x14ac:dyDescent="0.3">
      <c r="A28" s="9" t="s">
        <v>31</v>
      </c>
      <c r="B28" s="2"/>
      <c r="C28" s="2"/>
      <c r="D28" s="2"/>
    </row>
    <row r="29" spans="1:4" x14ac:dyDescent="0.3">
      <c r="A29" s="10" t="s">
        <v>32</v>
      </c>
      <c r="B29" s="3"/>
      <c r="C29" s="3"/>
      <c r="D29" s="3"/>
    </row>
    <row r="30" spans="1:4" x14ac:dyDescent="0.3">
      <c r="A30" s="9" t="s">
        <v>33</v>
      </c>
      <c r="B30" s="2"/>
      <c r="C30" s="2"/>
      <c r="D30" s="2"/>
    </row>
    <row r="31" spans="1:4" x14ac:dyDescent="0.3">
      <c r="A31" s="10" t="s">
        <v>34</v>
      </c>
      <c r="B31" s="3"/>
      <c r="C31" s="3"/>
      <c r="D31" s="3"/>
    </row>
    <row r="32" spans="1:4" x14ac:dyDescent="0.3">
      <c r="A32" s="9" t="s">
        <v>35</v>
      </c>
      <c r="B32" s="2"/>
      <c r="C32" s="2"/>
      <c r="D32" s="2"/>
    </row>
    <row r="33" spans="1:4" x14ac:dyDescent="0.3">
      <c r="A33" s="10" t="s">
        <v>36</v>
      </c>
      <c r="B33" s="3"/>
      <c r="C33" s="3"/>
      <c r="D33" s="3"/>
    </row>
    <row r="34" spans="1:4" x14ac:dyDescent="0.3">
      <c r="A34" s="9" t="s">
        <v>37</v>
      </c>
      <c r="B34" s="2"/>
      <c r="C34" s="2"/>
      <c r="D34" s="2"/>
    </row>
    <row r="35" spans="1:4" x14ac:dyDescent="0.3">
      <c r="A35" s="10" t="s">
        <v>38</v>
      </c>
      <c r="B35" s="3"/>
      <c r="C35" s="3"/>
      <c r="D35" s="3"/>
    </row>
    <row r="36" spans="1:4" x14ac:dyDescent="0.3">
      <c r="A36" s="9" t="s">
        <v>39</v>
      </c>
      <c r="B36" s="2"/>
      <c r="C36" s="2"/>
      <c r="D36" s="2"/>
    </row>
    <row r="37" spans="1:4" x14ac:dyDescent="0.3">
      <c r="A37" s="10" t="s">
        <v>40</v>
      </c>
      <c r="B37" s="3"/>
      <c r="C37" s="3"/>
      <c r="D37" s="3"/>
    </row>
    <row r="38" spans="1:4" x14ac:dyDescent="0.3">
      <c r="A38" s="9" t="s">
        <v>41</v>
      </c>
      <c r="B38" s="2"/>
      <c r="C38" s="2"/>
      <c r="D38" s="2"/>
    </row>
    <row r="39" spans="1:4" x14ac:dyDescent="0.3">
      <c r="A39" s="10" t="s">
        <v>42</v>
      </c>
      <c r="B39" s="3"/>
      <c r="C39" s="3"/>
      <c r="D39" s="3"/>
    </row>
    <row r="40" spans="1:4" x14ac:dyDescent="0.3">
      <c r="A40" s="13" t="s">
        <v>43</v>
      </c>
      <c r="B40" s="6"/>
      <c r="C40" s="6"/>
      <c r="D40" s="6"/>
    </row>
    <row r="41" spans="1:4" x14ac:dyDescent="0.3">
      <c r="A41" s="14" t="s">
        <v>44</v>
      </c>
      <c r="B41" s="7"/>
      <c r="C41" s="7"/>
      <c r="D41" s="7"/>
    </row>
    <row r="42" spans="1:4" x14ac:dyDescent="0.3">
      <c r="A42" s="13" t="s">
        <v>45</v>
      </c>
      <c r="B42" s="6"/>
      <c r="C42" s="6"/>
      <c r="D42" s="6"/>
    </row>
    <row r="43" spans="1:4" x14ac:dyDescent="0.3">
      <c r="A43" s="14" t="s">
        <v>46</v>
      </c>
      <c r="B43" s="7"/>
      <c r="C43" s="7"/>
      <c r="D43" s="7"/>
    </row>
    <row r="44" spans="1:4" x14ac:dyDescent="0.3">
      <c r="A44" s="9" t="s">
        <v>47</v>
      </c>
      <c r="B44" s="2"/>
      <c r="C44" s="2"/>
      <c r="D44" s="2"/>
    </row>
    <row r="45" spans="1:4" x14ac:dyDescent="0.3">
      <c r="A45" s="10" t="s">
        <v>48</v>
      </c>
      <c r="B45" s="3"/>
      <c r="C45" s="3"/>
      <c r="D45" s="3"/>
    </row>
    <row r="46" spans="1:4" x14ac:dyDescent="0.3">
      <c r="A46" s="9" t="s">
        <v>49</v>
      </c>
      <c r="B46" s="2"/>
      <c r="C46" s="2"/>
      <c r="D46" s="2"/>
    </row>
    <row r="47" spans="1:4" x14ac:dyDescent="0.3">
      <c r="A47" s="10" t="s">
        <v>50</v>
      </c>
      <c r="B47" s="3"/>
      <c r="C47" s="3"/>
      <c r="D47" s="3"/>
    </row>
    <row r="48" spans="1:4" x14ac:dyDescent="0.3">
      <c r="A48" s="9" t="s">
        <v>51</v>
      </c>
      <c r="B48" s="2"/>
      <c r="C48" s="2"/>
      <c r="D48" s="2"/>
    </row>
    <row r="49" spans="1:4" x14ac:dyDescent="0.3">
      <c r="A49" s="10" t="s">
        <v>52</v>
      </c>
      <c r="B49" s="3"/>
      <c r="C49" s="3"/>
      <c r="D49" s="3"/>
    </row>
    <row r="50" spans="1:4" x14ac:dyDescent="0.3">
      <c r="A50" s="9" t="s">
        <v>53</v>
      </c>
      <c r="B50" s="2"/>
      <c r="C50" s="2"/>
      <c r="D50" s="2"/>
    </row>
    <row r="51" spans="1:4" x14ac:dyDescent="0.3">
      <c r="A51" s="10" t="s">
        <v>54</v>
      </c>
      <c r="B51" s="3"/>
      <c r="C51" s="3"/>
      <c r="D51" s="3"/>
    </row>
    <row r="52" spans="1:4" x14ac:dyDescent="0.3">
      <c r="A52" s="9" t="s">
        <v>55</v>
      </c>
      <c r="B52" s="2"/>
      <c r="C52" s="2"/>
      <c r="D52" s="2"/>
    </row>
    <row r="53" spans="1:4" x14ac:dyDescent="0.3">
      <c r="A53" s="10" t="s">
        <v>56</v>
      </c>
      <c r="B53" s="3"/>
      <c r="C53" s="3"/>
      <c r="D53" s="3"/>
    </row>
    <row r="54" spans="1:4" x14ac:dyDescent="0.3">
      <c r="A54" s="9" t="s">
        <v>57</v>
      </c>
      <c r="B54" s="2"/>
      <c r="C54" s="2"/>
      <c r="D54" s="2"/>
    </row>
    <row r="55" spans="1:4" x14ac:dyDescent="0.3">
      <c r="A55" s="10" t="s">
        <v>58</v>
      </c>
      <c r="B55" s="3"/>
      <c r="C55" s="3"/>
      <c r="D55" s="3"/>
    </row>
    <row r="56" spans="1:4" x14ac:dyDescent="0.3">
      <c r="A56" s="11" t="s">
        <v>59</v>
      </c>
      <c r="B56" s="4"/>
      <c r="C56" s="4"/>
      <c r="D56" s="4"/>
    </row>
    <row r="57" spans="1:4" x14ac:dyDescent="0.3">
      <c r="A57" s="14" t="s">
        <v>60</v>
      </c>
      <c r="B57" s="7"/>
      <c r="C57" s="7"/>
      <c r="D57" s="7"/>
    </row>
    <row r="58" spans="1:4" x14ac:dyDescent="0.3">
      <c r="A58" s="15" t="s">
        <v>61</v>
      </c>
      <c r="B58" s="8"/>
      <c r="C58" s="8"/>
      <c r="D5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totals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2026-01-30T00:06:37Z</dcterms:created>
  <dcterms:modified xsi:type="dcterms:W3CDTF">2026-10-01T20:27:41Z</dcterms:modified>
</cp:coreProperties>
</file>