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aff\Documents\GitHub\next_statistics\statistics_files\2026\"/>
    </mc:Choice>
  </mc:AlternateContent>
  <xr:revisionPtr revIDLastSave="0" documentId="13_ncr:1_{8E90C477-F2B7-4EE2-BB7C-703B04AEF61C}" xr6:coauthVersionLast="47" xr6:coauthVersionMax="47" xr10:uidLastSave="{00000000-0000-0000-0000-000000000000}"/>
  <bookViews>
    <workbookView xWindow="28680" yWindow="-120" windowWidth="29040" windowHeight="15720" tabRatio="843" xr2:uid="{00000000-000D-0000-FFFF-FFFF00000000}"/>
  </bookViews>
  <sheets>
    <sheet name="January" sheetId="1" r:id="rId1"/>
    <sheet name="February" sheetId="6" r:id="rId2"/>
    <sheet name="March" sheetId="7" r:id="rId3"/>
    <sheet name="April" sheetId="8" r:id="rId4"/>
    <sheet name="May" sheetId="9" r:id="rId5"/>
    <sheet name="June" sheetId="2" r:id="rId6"/>
    <sheet name="July" sheetId="3" r:id="rId7"/>
    <sheet name="August" sheetId="4" r:id="rId8"/>
    <sheet name="September" sheetId="5" r:id="rId9"/>
    <sheet name="October" sheetId="10" r:id="rId10"/>
    <sheet name="November" sheetId="11" r:id="rId11"/>
    <sheet name="December" sheetId="12" r:id="rId12"/>
    <sheet name="Yearly total" sheetId="13" r:id="rId13"/>
  </sheets>
  <definedNames>
    <definedName name="_xlnm._FilterDatabase" localSheetId="3" hidden="1">April!$A$1:$J$57</definedName>
    <definedName name="_xlnm._FilterDatabase" localSheetId="7" hidden="1">August!$A$1:$J$57</definedName>
    <definedName name="_xlnm._FilterDatabase" localSheetId="11" hidden="1">December!$A$1:$J$57</definedName>
    <definedName name="_xlnm._FilterDatabase" localSheetId="1" hidden="1">February!$A$1:$J$57</definedName>
    <definedName name="_xlnm._FilterDatabase" localSheetId="0" hidden="1">January!$A$1:$J$57</definedName>
    <definedName name="_xlnm._FilterDatabase" localSheetId="6" hidden="1">July!$A$1:$J$57</definedName>
    <definedName name="_xlnm._FilterDatabase" localSheetId="5" hidden="1">June!$A$1:$J$57</definedName>
    <definedName name="_xlnm._FilterDatabase" localSheetId="2" hidden="1">March!$A$1:$J$57</definedName>
    <definedName name="_xlnm._FilterDatabase" localSheetId="4" hidden="1">May!$A$1:$J$57</definedName>
    <definedName name="_xlnm._FilterDatabase" localSheetId="10" hidden="1">November!$A$1:$J$57</definedName>
    <definedName name="_xlnm._FilterDatabase" localSheetId="9" hidden="1">October!$A$1:$J$57</definedName>
    <definedName name="_xlnm._FilterDatabase" localSheetId="8" hidden="1">September!$A$1:$J$57</definedName>
    <definedName name="_xlnm._FilterDatabase" localSheetId="12" hidden="1">'Yearly total'!$A$1:$J$57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4" i="13" l="1"/>
  <c r="I54" i="13"/>
  <c r="H54" i="13"/>
  <c r="G54" i="13"/>
  <c r="F54" i="13"/>
  <c r="E54" i="13"/>
  <c r="D54" i="13"/>
  <c r="C54" i="13"/>
  <c r="B54" i="13"/>
  <c r="J53" i="13"/>
  <c r="I53" i="13"/>
  <c r="H53" i="13"/>
  <c r="G53" i="13"/>
  <c r="F53" i="13"/>
  <c r="E53" i="13"/>
  <c r="D53" i="13"/>
  <c r="C53" i="13"/>
  <c r="B53" i="13"/>
  <c r="J52" i="13"/>
  <c r="I52" i="13"/>
  <c r="H52" i="13"/>
  <c r="G52" i="13"/>
  <c r="F52" i="13"/>
  <c r="E52" i="13"/>
  <c r="D52" i="13"/>
  <c r="C52" i="13"/>
  <c r="B52" i="13"/>
  <c r="J51" i="13"/>
  <c r="I51" i="13"/>
  <c r="H51" i="13"/>
  <c r="G51" i="13"/>
  <c r="F51" i="13"/>
  <c r="E51" i="13"/>
  <c r="D51" i="13"/>
  <c r="C51" i="13"/>
  <c r="B51" i="13"/>
  <c r="J50" i="13"/>
  <c r="I50" i="13"/>
  <c r="H50" i="13"/>
  <c r="G50" i="13"/>
  <c r="F50" i="13"/>
  <c r="E50" i="13"/>
  <c r="D50" i="13"/>
  <c r="C50" i="13"/>
  <c r="B50" i="13"/>
  <c r="J49" i="13"/>
  <c r="I49" i="13"/>
  <c r="H49" i="13"/>
  <c r="G49" i="13"/>
  <c r="F49" i="13"/>
  <c r="E49" i="13"/>
  <c r="D49" i="13"/>
  <c r="C49" i="13"/>
  <c r="B49" i="13"/>
  <c r="J48" i="13"/>
  <c r="I48" i="13"/>
  <c r="H48" i="13"/>
  <c r="G48" i="13"/>
  <c r="F48" i="13"/>
  <c r="E48" i="13"/>
  <c r="D48" i="13"/>
  <c r="C48" i="13"/>
  <c r="B48" i="13"/>
  <c r="J47" i="13"/>
  <c r="I47" i="13"/>
  <c r="H47" i="13"/>
  <c r="G47" i="13"/>
  <c r="F47" i="13"/>
  <c r="E47" i="13"/>
  <c r="D47" i="13"/>
  <c r="C47" i="13"/>
  <c r="B47" i="13"/>
  <c r="J46" i="13"/>
  <c r="I46" i="13"/>
  <c r="H46" i="13"/>
  <c r="G46" i="13"/>
  <c r="F46" i="13"/>
  <c r="E46" i="13"/>
  <c r="D46" i="13"/>
  <c r="C46" i="13"/>
  <c r="B46" i="13"/>
  <c r="J45" i="13"/>
  <c r="I45" i="13"/>
  <c r="H45" i="13"/>
  <c r="G45" i="13"/>
  <c r="F45" i="13"/>
  <c r="E45" i="13"/>
  <c r="D45" i="13"/>
  <c r="C45" i="13"/>
  <c r="B45" i="13"/>
  <c r="J44" i="13"/>
  <c r="I44" i="13"/>
  <c r="H44" i="13"/>
  <c r="G44" i="13"/>
  <c r="F44" i="13"/>
  <c r="E44" i="13"/>
  <c r="D44" i="13"/>
  <c r="C44" i="13"/>
  <c r="B44" i="13"/>
  <c r="J43" i="13"/>
  <c r="I43" i="13"/>
  <c r="H43" i="13"/>
  <c r="G43" i="13"/>
  <c r="F43" i="13"/>
  <c r="E43" i="13"/>
  <c r="D43" i="13"/>
  <c r="C43" i="13"/>
  <c r="B43" i="13"/>
  <c r="J42" i="13"/>
  <c r="I42" i="13"/>
  <c r="H42" i="13"/>
  <c r="G42" i="13"/>
  <c r="G56" i="13" s="1"/>
  <c r="F42" i="13"/>
  <c r="E42" i="13"/>
  <c r="D42" i="13"/>
  <c r="C42" i="13"/>
  <c r="B42" i="13"/>
  <c r="J41" i="13"/>
  <c r="I41" i="13"/>
  <c r="H41" i="13"/>
  <c r="G41" i="13"/>
  <c r="F41" i="13"/>
  <c r="E41" i="13"/>
  <c r="D41" i="13"/>
  <c r="C41" i="13"/>
  <c r="B41" i="13"/>
  <c r="J40" i="13"/>
  <c r="I40" i="13"/>
  <c r="H40" i="13"/>
  <c r="G40" i="13"/>
  <c r="F40" i="13"/>
  <c r="E40" i="13"/>
  <c r="D40" i="13"/>
  <c r="C40" i="13"/>
  <c r="B40" i="13"/>
  <c r="J39" i="13"/>
  <c r="I39" i="13"/>
  <c r="H39" i="13"/>
  <c r="G39" i="13"/>
  <c r="F39" i="13"/>
  <c r="E39" i="13"/>
  <c r="D39" i="13"/>
  <c r="C39" i="13"/>
  <c r="B39" i="13"/>
  <c r="J38" i="13"/>
  <c r="I38" i="13"/>
  <c r="H38" i="13"/>
  <c r="G38" i="13"/>
  <c r="F38" i="13"/>
  <c r="E38" i="13"/>
  <c r="D38" i="13"/>
  <c r="C38" i="13"/>
  <c r="B38" i="13"/>
  <c r="J37" i="13"/>
  <c r="I37" i="13"/>
  <c r="H37" i="13"/>
  <c r="G37" i="13"/>
  <c r="F37" i="13"/>
  <c r="E37" i="13"/>
  <c r="D37" i="13"/>
  <c r="C37" i="13"/>
  <c r="B37" i="13"/>
  <c r="J36" i="13"/>
  <c r="I36" i="13"/>
  <c r="H36" i="13"/>
  <c r="G36" i="13"/>
  <c r="F36" i="13"/>
  <c r="E36" i="13"/>
  <c r="D36" i="13"/>
  <c r="C36" i="13"/>
  <c r="B36" i="13"/>
  <c r="J35" i="13"/>
  <c r="I35" i="13"/>
  <c r="H35" i="13"/>
  <c r="G35" i="13"/>
  <c r="F35" i="13"/>
  <c r="E35" i="13"/>
  <c r="D35" i="13"/>
  <c r="C35" i="13"/>
  <c r="B35" i="13"/>
  <c r="J34" i="13"/>
  <c r="I34" i="13"/>
  <c r="H34" i="13"/>
  <c r="G34" i="13"/>
  <c r="F34" i="13"/>
  <c r="E34" i="13"/>
  <c r="D34" i="13"/>
  <c r="C34" i="13"/>
  <c r="B34" i="13"/>
  <c r="J33" i="13"/>
  <c r="I33" i="13"/>
  <c r="H33" i="13"/>
  <c r="G33" i="13"/>
  <c r="F33" i="13"/>
  <c r="E33" i="13"/>
  <c r="D33" i="13"/>
  <c r="C33" i="13"/>
  <c r="B33" i="13"/>
  <c r="J32" i="13"/>
  <c r="I32" i="13"/>
  <c r="H32" i="13"/>
  <c r="G32" i="13"/>
  <c r="F32" i="13"/>
  <c r="E32" i="13"/>
  <c r="D32" i="13"/>
  <c r="C32" i="13"/>
  <c r="B32" i="13"/>
  <c r="J31" i="13"/>
  <c r="I31" i="13"/>
  <c r="H31" i="13"/>
  <c r="G31" i="13"/>
  <c r="F31" i="13"/>
  <c r="E31" i="13"/>
  <c r="D31" i="13"/>
  <c r="C31" i="13"/>
  <c r="B31" i="13"/>
  <c r="J30" i="13"/>
  <c r="I30" i="13"/>
  <c r="H30" i="13"/>
  <c r="G30" i="13"/>
  <c r="F30" i="13"/>
  <c r="E30" i="13"/>
  <c r="D30" i="13"/>
  <c r="C30" i="13"/>
  <c r="B30" i="13"/>
  <c r="J29" i="13"/>
  <c r="I29" i="13"/>
  <c r="H29" i="13"/>
  <c r="G29" i="13"/>
  <c r="F29" i="13"/>
  <c r="E29" i="13"/>
  <c r="D29" i="13"/>
  <c r="C29" i="13"/>
  <c r="B29" i="13"/>
  <c r="J28" i="13"/>
  <c r="I28" i="13"/>
  <c r="H28" i="13"/>
  <c r="G28" i="13"/>
  <c r="F28" i="13"/>
  <c r="E28" i="13"/>
  <c r="D28" i="13"/>
  <c r="C28" i="13"/>
  <c r="B28" i="13"/>
  <c r="J27" i="13"/>
  <c r="I27" i="13"/>
  <c r="H27" i="13"/>
  <c r="G27" i="13"/>
  <c r="F27" i="13"/>
  <c r="E27" i="13"/>
  <c r="D27" i="13"/>
  <c r="C27" i="13"/>
  <c r="B27" i="13"/>
  <c r="J26" i="13"/>
  <c r="I26" i="13"/>
  <c r="H26" i="13"/>
  <c r="G26" i="13"/>
  <c r="F26" i="13"/>
  <c r="E26" i="13"/>
  <c r="D26" i="13"/>
  <c r="C26" i="13"/>
  <c r="B26" i="13"/>
  <c r="J25" i="13"/>
  <c r="I25" i="13"/>
  <c r="H25" i="13"/>
  <c r="G25" i="13"/>
  <c r="F25" i="13"/>
  <c r="E25" i="13"/>
  <c r="D25" i="13"/>
  <c r="C25" i="13"/>
  <c r="B25" i="13"/>
  <c r="J24" i="13"/>
  <c r="I24" i="13"/>
  <c r="H24" i="13"/>
  <c r="G24" i="13"/>
  <c r="F24" i="13"/>
  <c r="E24" i="13"/>
  <c r="D24" i="13"/>
  <c r="C24" i="13"/>
  <c r="B24" i="13"/>
  <c r="J23" i="13"/>
  <c r="I23" i="13"/>
  <c r="H23" i="13"/>
  <c r="G23" i="13"/>
  <c r="F23" i="13"/>
  <c r="E23" i="13"/>
  <c r="D23" i="13"/>
  <c r="C23" i="13"/>
  <c r="B23" i="13"/>
  <c r="J22" i="13"/>
  <c r="I22" i="13"/>
  <c r="H22" i="13"/>
  <c r="G22" i="13"/>
  <c r="F22" i="13"/>
  <c r="E22" i="13"/>
  <c r="D22" i="13"/>
  <c r="C22" i="13"/>
  <c r="B22" i="13"/>
  <c r="J21" i="13"/>
  <c r="I21" i="13"/>
  <c r="H21" i="13"/>
  <c r="G21" i="13"/>
  <c r="F21" i="13"/>
  <c r="E21" i="13"/>
  <c r="D21" i="13"/>
  <c r="C21" i="13"/>
  <c r="B21" i="13"/>
  <c r="J20" i="13"/>
  <c r="I20" i="13"/>
  <c r="H20" i="13"/>
  <c r="G20" i="13"/>
  <c r="F20" i="13"/>
  <c r="E20" i="13"/>
  <c r="D20" i="13"/>
  <c r="C20" i="13"/>
  <c r="B20" i="13"/>
  <c r="J19" i="13"/>
  <c r="I19" i="13"/>
  <c r="H19" i="13"/>
  <c r="G19" i="13"/>
  <c r="F19" i="13"/>
  <c r="E19" i="13"/>
  <c r="D19" i="13"/>
  <c r="C19" i="13"/>
  <c r="B19" i="13"/>
  <c r="J18" i="13"/>
  <c r="I18" i="13"/>
  <c r="H18" i="13"/>
  <c r="G18" i="13"/>
  <c r="F18" i="13"/>
  <c r="E18" i="13"/>
  <c r="D18" i="13"/>
  <c r="C18" i="13"/>
  <c r="B18" i="13"/>
  <c r="J17" i="13"/>
  <c r="I17" i="13"/>
  <c r="H17" i="13"/>
  <c r="G17" i="13"/>
  <c r="F17" i="13"/>
  <c r="E17" i="13"/>
  <c r="D17" i="13"/>
  <c r="C17" i="13"/>
  <c r="B17" i="13"/>
  <c r="J16" i="13"/>
  <c r="I16" i="13"/>
  <c r="H16" i="13"/>
  <c r="G16" i="13"/>
  <c r="F16" i="13"/>
  <c r="E16" i="13"/>
  <c r="D16" i="13"/>
  <c r="C16" i="13"/>
  <c r="B16" i="13"/>
  <c r="J15" i="13"/>
  <c r="I15" i="13"/>
  <c r="H15" i="13"/>
  <c r="G15" i="13"/>
  <c r="F15" i="13"/>
  <c r="E15" i="13"/>
  <c r="D15" i="13"/>
  <c r="C15" i="13"/>
  <c r="B15" i="13"/>
  <c r="J14" i="13"/>
  <c r="I14" i="13"/>
  <c r="H14" i="13"/>
  <c r="G14" i="13"/>
  <c r="F14" i="13"/>
  <c r="E14" i="13"/>
  <c r="D14" i="13"/>
  <c r="C14" i="13"/>
  <c r="B14" i="13"/>
  <c r="J13" i="13"/>
  <c r="I13" i="13"/>
  <c r="H13" i="13"/>
  <c r="G13" i="13"/>
  <c r="F13" i="13"/>
  <c r="E13" i="13"/>
  <c r="D13" i="13"/>
  <c r="C13" i="13"/>
  <c r="B13" i="13"/>
  <c r="J12" i="13"/>
  <c r="I12" i="13"/>
  <c r="H12" i="13"/>
  <c r="G12" i="13"/>
  <c r="F12" i="13"/>
  <c r="E12" i="13"/>
  <c r="D12" i="13"/>
  <c r="C12" i="13"/>
  <c r="B12" i="13"/>
  <c r="J11" i="13"/>
  <c r="I11" i="13"/>
  <c r="H11" i="13"/>
  <c r="G11" i="13"/>
  <c r="F11" i="13"/>
  <c r="E11" i="13"/>
  <c r="D11" i="13"/>
  <c r="C11" i="13"/>
  <c r="B11" i="13"/>
  <c r="J10" i="13"/>
  <c r="I10" i="13"/>
  <c r="H10" i="13"/>
  <c r="G10" i="13"/>
  <c r="F10" i="13"/>
  <c r="E10" i="13"/>
  <c r="D10" i="13"/>
  <c r="C10" i="13"/>
  <c r="B10" i="13"/>
  <c r="J9" i="13"/>
  <c r="I9" i="13"/>
  <c r="H9" i="13"/>
  <c r="G9" i="13"/>
  <c r="F9" i="13"/>
  <c r="E9" i="13"/>
  <c r="D9" i="13"/>
  <c r="C9" i="13"/>
  <c r="B9" i="13"/>
  <c r="J8" i="13"/>
  <c r="I8" i="13"/>
  <c r="H8" i="13"/>
  <c r="G8" i="13"/>
  <c r="F8" i="13"/>
  <c r="E8" i="13"/>
  <c r="D8" i="13"/>
  <c r="C8" i="13"/>
  <c r="B8" i="13"/>
  <c r="J7" i="13"/>
  <c r="I7" i="13"/>
  <c r="H7" i="13"/>
  <c r="G7" i="13"/>
  <c r="F7" i="13"/>
  <c r="E7" i="13"/>
  <c r="D7" i="13"/>
  <c r="C7" i="13"/>
  <c r="B7" i="13"/>
  <c r="J6" i="13"/>
  <c r="I6" i="13"/>
  <c r="H6" i="13"/>
  <c r="G6" i="13"/>
  <c r="F6" i="13"/>
  <c r="E6" i="13"/>
  <c r="D6" i="13"/>
  <c r="C6" i="13"/>
  <c r="B6" i="13"/>
  <c r="J5" i="13"/>
  <c r="I5" i="13"/>
  <c r="H5" i="13"/>
  <c r="G5" i="13"/>
  <c r="F5" i="13"/>
  <c r="E5" i="13"/>
  <c r="D5" i="13"/>
  <c r="C5" i="13"/>
  <c r="B5" i="13"/>
  <c r="J4" i="13"/>
  <c r="I4" i="13"/>
  <c r="H4" i="13"/>
  <c r="G4" i="13"/>
  <c r="F4" i="13"/>
  <c r="E4" i="13"/>
  <c r="D4" i="13"/>
  <c r="C4" i="13"/>
  <c r="B4" i="13"/>
  <c r="J3" i="13"/>
  <c r="I3" i="13"/>
  <c r="H3" i="13"/>
  <c r="G3" i="13"/>
  <c r="F3" i="13"/>
  <c r="E3" i="13"/>
  <c r="D3" i="13"/>
  <c r="C3" i="13"/>
  <c r="B3" i="13"/>
  <c r="J2" i="13"/>
  <c r="I2" i="13"/>
  <c r="H2" i="13"/>
  <c r="G2" i="13"/>
  <c r="F2" i="13"/>
  <c r="E2" i="13"/>
  <c r="D2" i="13"/>
  <c r="C2" i="13"/>
  <c r="B2" i="13"/>
  <c r="J57" i="12"/>
  <c r="I57" i="12"/>
  <c r="H57" i="12"/>
  <c r="G57" i="12"/>
  <c r="F57" i="12"/>
  <c r="E57" i="12"/>
  <c r="D57" i="12"/>
  <c r="C57" i="12"/>
  <c r="B57" i="12"/>
  <c r="J56" i="12"/>
  <c r="I56" i="12"/>
  <c r="H56" i="12"/>
  <c r="G56" i="12"/>
  <c r="F56" i="12"/>
  <c r="E56" i="12"/>
  <c r="D56" i="12"/>
  <c r="C56" i="12"/>
  <c r="B56" i="12"/>
  <c r="J55" i="12"/>
  <c r="I55" i="12"/>
  <c r="H55" i="12"/>
  <c r="G55" i="12"/>
  <c r="F55" i="12"/>
  <c r="E55" i="12"/>
  <c r="D55" i="12"/>
  <c r="C55" i="12"/>
  <c r="B55" i="12"/>
  <c r="J57" i="11"/>
  <c r="I57" i="11"/>
  <c r="H57" i="11"/>
  <c r="G57" i="11"/>
  <c r="F57" i="11"/>
  <c r="E57" i="11"/>
  <c r="D57" i="11"/>
  <c r="C57" i="11"/>
  <c r="B57" i="11"/>
  <c r="J56" i="11"/>
  <c r="I56" i="11"/>
  <c r="H56" i="11"/>
  <c r="G56" i="11"/>
  <c r="F56" i="11"/>
  <c r="E56" i="11"/>
  <c r="D56" i="11"/>
  <c r="C56" i="11"/>
  <c r="B56" i="11"/>
  <c r="J55" i="11"/>
  <c r="I55" i="11"/>
  <c r="H55" i="11"/>
  <c r="G55" i="11"/>
  <c r="F55" i="11"/>
  <c r="E55" i="11"/>
  <c r="D55" i="11"/>
  <c r="C55" i="11"/>
  <c r="B55" i="11"/>
  <c r="J57" i="10"/>
  <c r="I57" i="10"/>
  <c r="H57" i="10"/>
  <c r="G57" i="10"/>
  <c r="F57" i="10"/>
  <c r="E57" i="10"/>
  <c r="D57" i="10"/>
  <c r="C57" i="10"/>
  <c r="B57" i="10"/>
  <c r="J56" i="10"/>
  <c r="I56" i="10"/>
  <c r="H56" i="10"/>
  <c r="G56" i="10"/>
  <c r="F56" i="10"/>
  <c r="E56" i="10"/>
  <c r="D56" i="10"/>
  <c r="C56" i="10"/>
  <c r="B56" i="10"/>
  <c r="J55" i="10"/>
  <c r="I55" i="10"/>
  <c r="H55" i="10"/>
  <c r="G55" i="10"/>
  <c r="F55" i="10"/>
  <c r="E55" i="10"/>
  <c r="D55" i="10"/>
  <c r="C55" i="10"/>
  <c r="B55" i="10"/>
  <c r="J57" i="9"/>
  <c r="I57" i="9"/>
  <c r="H57" i="9"/>
  <c r="G57" i="9"/>
  <c r="F57" i="9"/>
  <c r="E57" i="9"/>
  <c r="D57" i="9"/>
  <c r="C57" i="9"/>
  <c r="B57" i="9"/>
  <c r="J56" i="9"/>
  <c r="I56" i="9"/>
  <c r="H56" i="9"/>
  <c r="G56" i="9"/>
  <c r="F56" i="9"/>
  <c r="E56" i="9"/>
  <c r="D56" i="9"/>
  <c r="C56" i="9"/>
  <c r="B56" i="9"/>
  <c r="J55" i="9"/>
  <c r="I55" i="9"/>
  <c r="H55" i="9"/>
  <c r="G55" i="9"/>
  <c r="F55" i="9"/>
  <c r="E55" i="9"/>
  <c r="D55" i="9"/>
  <c r="C55" i="9"/>
  <c r="B55" i="9"/>
  <c r="J57" i="8"/>
  <c r="I57" i="8"/>
  <c r="H57" i="8"/>
  <c r="G57" i="8"/>
  <c r="F57" i="8"/>
  <c r="E57" i="8"/>
  <c r="D57" i="8"/>
  <c r="C57" i="8"/>
  <c r="B57" i="8"/>
  <c r="J56" i="8"/>
  <c r="I56" i="8"/>
  <c r="H56" i="8"/>
  <c r="G56" i="8"/>
  <c r="F56" i="8"/>
  <c r="E56" i="8"/>
  <c r="D56" i="8"/>
  <c r="C56" i="8"/>
  <c r="B56" i="8"/>
  <c r="J55" i="8"/>
  <c r="I55" i="8"/>
  <c r="H55" i="8"/>
  <c r="G55" i="8"/>
  <c r="F55" i="8"/>
  <c r="E55" i="8"/>
  <c r="D55" i="8"/>
  <c r="C55" i="8"/>
  <c r="B55" i="8"/>
  <c r="J57" i="7"/>
  <c r="I57" i="7"/>
  <c r="H57" i="7"/>
  <c r="G57" i="7"/>
  <c r="F57" i="7"/>
  <c r="E57" i="7"/>
  <c r="D57" i="7"/>
  <c r="C57" i="7"/>
  <c r="B57" i="7"/>
  <c r="J56" i="7"/>
  <c r="I56" i="7"/>
  <c r="H56" i="7"/>
  <c r="G56" i="7"/>
  <c r="F56" i="7"/>
  <c r="E56" i="7"/>
  <c r="D56" i="7"/>
  <c r="C56" i="7"/>
  <c r="B56" i="7"/>
  <c r="J55" i="7"/>
  <c r="I55" i="7"/>
  <c r="H55" i="7"/>
  <c r="G55" i="7"/>
  <c r="F55" i="7"/>
  <c r="E55" i="7"/>
  <c r="D55" i="7"/>
  <c r="C55" i="7"/>
  <c r="B55" i="7"/>
  <c r="J57" i="6"/>
  <c r="I57" i="6"/>
  <c r="H57" i="6"/>
  <c r="G57" i="6"/>
  <c r="F57" i="6"/>
  <c r="E57" i="6"/>
  <c r="D57" i="6"/>
  <c r="C57" i="6"/>
  <c r="B57" i="6"/>
  <c r="J56" i="6"/>
  <c r="I56" i="6"/>
  <c r="H56" i="6"/>
  <c r="G56" i="6"/>
  <c r="F56" i="6"/>
  <c r="E56" i="6"/>
  <c r="D56" i="6"/>
  <c r="C56" i="6"/>
  <c r="B56" i="6"/>
  <c r="J55" i="6"/>
  <c r="I55" i="6"/>
  <c r="H55" i="6"/>
  <c r="G55" i="6"/>
  <c r="F55" i="6"/>
  <c r="E55" i="6"/>
  <c r="D55" i="6"/>
  <c r="C55" i="6"/>
  <c r="B55" i="6"/>
  <c r="J57" i="5"/>
  <c r="I57" i="5"/>
  <c r="H57" i="5"/>
  <c r="G57" i="5"/>
  <c r="F57" i="5"/>
  <c r="E57" i="5"/>
  <c r="D57" i="5"/>
  <c r="C57" i="5"/>
  <c r="B57" i="5"/>
  <c r="J56" i="5"/>
  <c r="I56" i="5"/>
  <c r="H56" i="5"/>
  <c r="G56" i="5"/>
  <c r="F56" i="5"/>
  <c r="E56" i="5"/>
  <c r="D56" i="5"/>
  <c r="C56" i="5"/>
  <c r="B56" i="5"/>
  <c r="J55" i="5"/>
  <c r="I55" i="5"/>
  <c r="H55" i="5"/>
  <c r="G55" i="5"/>
  <c r="F55" i="5"/>
  <c r="E55" i="5"/>
  <c r="D55" i="5"/>
  <c r="C55" i="5"/>
  <c r="B55" i="5"/>
  <c r="J57" i="4"/>
  <c r="I57" i="4"/>
  <c r="H57" i="4"/>
  <c r="G57" i="4"/>
  <c r="F57" i="4"/>
  <c r="E57" i="4"/>
  <c r="D57" i="4"/>
  <c r="C57" i="4"/>
  <c r="B57" i="4"/>
  <c r="J56" i="4"/>
  <c r="I56" i="4"/>
  <c r="H56" i="4"/>
  <c r="G56" i="4"/>
  <c r="F56" i="4"/>
  <c r="E56" i="4"/>
  <c r="D56" i="4"/>
  <c r="C56" i="4"/>
  <c r="B56" i="4"/>
  <c r="J55" i="4"/>
  <c r="I55" i="4"/>
  <c r="H55" i="4"/>
  <c r="G55" i="4"/>
  <c r="F55" i="4"/>
  <c r="E55" i="4"/>
  <c r="D55" i="4"/>
  <c r="C55" i="4"/>
  <c r="B55" i="4"/>
  <c r="J57" i="3"/>
  <c r="I57" i="3"/>
  <c r="H57" i="3"/>
  <c r="G57" i="3"/>
  <c r="F57" i="3"/>
  <c r="E57" i="3"/>
  <c r="D57" i="3"/>
  <c r="C57" i="3"/>
  <c r="B57" i="3"/>
  <c r="J56" i="3"/>
  <c r="I56" i="3"/>
  <c r="H56" i="3"/>
  <c r="G56" i="3"/>
  <c r="F56" i="3"/>
  <c r="E56" i="3"/>
  <c r="D56" i="3"/>
  <c r="C56" i="3"/>
  <c r="B56" i="3"/>
  <c r="J55" i="3"/>
  <c r="I55" i="3"/>
  <c r="H55" i="3"/>
  <c r="G55" i="3"/>
  <c r="F55" i="3"/>
  <c r="E55" i="3"/>
  <c r="D55" i="3"/>
  <c r="C55" i="3"/>
  <c r="B55" i="3"/>
  <c r="J57" i="2"/>
  <c r="I57" i="2"/>
  <c r="H57" i="2"/>
  <c r="G57" i="2"/>
  <c r="F57" i="2"/>
  <c r="E57" i="2"/>
  <c r="D57" i="2"/>
  <c r="C57" i="2"/>
  <c r="B57" i="2"/>
  <c r="J56" i="2"/>
  <c r="I56" i="2"/>
  <c r="H56" i="2"/>
  <c r="G56" i="2"/>
  <c r="F56" i="2"/>
  <c r="E56" i="2"/>
  <c r="D56" i="2"/>
  <c r="C56" i="2"/>
  <c r="B56" i="2"/>
  <c r="J55" i="2"/>
  <c r="I55" i="2"/>
  <c r="H55" i="2"/>
  <c r="G55" i="2"/>
  <c r="F55" i="2"/>
  <c r="E55" i="2"/>
  <c r="D55" i="2"/>
  <c r="C55" i="2"/>
  <c r="B55" i="2"/>
  <c r="J56" i="1"/>
  <c r="I56" i="1"/>
  <c r="H56" i="1"/>
  <c r="G56" i="1"/>
  <c r="F56" i="1"/>
  <c r="E56" i="1"/>
  <c r="D56" i="1"/>
  <c r="C56" i="1"/>
  <c r="B56" i="1"/>
  <c r="J55" i="1"/>
  <c r="I55" i="1"/>
  <c r="H55" i="1"/>
  <c r="G55" i="1"/>
  <c r="F55" i="1"/>
  <c r="E55" i="1"/>
  <c r="D55" i="1"/>
  <c r="C55" i="1"/>
  <c r="B55" i="1"/>
  <c r="J57" i="1"/>
  <c r="I57" i="1"/>
  <c r="H57" i="1"/>
  <c r="G57" i="1"/>
  <c r="F57" i="1"/>
  <c r="E57" i="1"/>
  <c r="D57" i="1"/>
  <c r="C57" i="1"/>
  <c r="B57" i="1"/>
  <c r="G55" i="13" l="1"/>
  <c r="J55" i="13"/>
  <c r="E55" i="13"/>
  <c r="F55" i="13"/>
  <c r="F56" i="13"/>
  <c r="B55" i="13"/>
  <c r="C56" i="13"/>
  <c r="D56" i="13"/>
  <c r="D55" i="13"/>
  <c r="C55" i="13"/>
  <c r="C57" i="13"/>
  <c r="B56" i="13"/>
  <c r="B57" i="13"/>
  <c r="E56" i="13"/>
  <c r="D57" i="13"/>
  <c r="E57" i="13"/>
  <c r="H56" i="13"/>
  <c r="H57" i="13"/>
  <c r="I57" i="13"/>
  <c r="F57" i="13"/>
  <c r="I55" i="13"/>
  <c r="G57" i="13"/>
  <c r="J56" i="13"/>
  <c r="J57" i="13"/>
  <c r="H55" i="13"/>
  <c r="I56" i="13"/>
</calcChain>
</file>

<file path=xl/sharedStrings.xml><?xml version="1.0" encoding="utf-8"?>
<sst xmlns="http://schemas.openxmlformats.org/spreadsheetml/2006/main" count="858" uniqueCount="67">
  <si>
    <t>Library</t>
  </si>
  <si>
    <t>Requests placed last month</t>
  </si>
  <si>
    <t>Requests filled last month</t>
  </si>
  <si>
    <t>Requests cancelled after placement on hold shelf</t>
  </si>
  <si>
    <t>Requests cancelled while in transit</t>
  </si>
  <si>
    <t>Requests cancelled before an item was found</t>
  </si>
  <si>
    <t>Requests cancelled total</t>
  </si>
  <si>
    <t>Requests expired last month</t>
  </si>
  <si>
    <t>Requests placed by staff</t>
  </si>
  <si>
    <t>Requests placed in the OPAC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</si>
  <si>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</si>
  <si>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</si>
  <si>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</si>
  <si>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</si>
  <si>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</si>
  <si>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</si>
  <si>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</si>
  <si>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</si>
  <si>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</si>
  <si>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</si>
  <si>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</si>
  <si>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</si>
  <si>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</si>
  <si>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</si>
  <si>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</si>
  <si>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</si>
  <si>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</si>
  <si>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</si>
  <si>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</si>
  <si>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</si>
  <si>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</si>
  <si>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</si>
  <si>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</si>
  <si>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</si>
  <si>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</si>
  <si>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</si>
  <si>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</si>
  <si>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</si>
  <si>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</si>
  <si>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</si>
  <si>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</si>
  <si>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</si>
  <si>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</si>
  <si>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</si>
  <si>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</si>
  <si>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</si>
  <si>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</si>
  <si>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</si>
  <si>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</si>
  <si>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</si>
  <si>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</si>
  <si>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</si>
  <si>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</si>
  <si>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</si>
  <si>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</si>
  <si>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</si>
  <si>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</si>
  <si>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</si>
  <si>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</si>
  <si>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</si>
  <si>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</si>
  <si>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</si>
  <si>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</si>
  <si>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Doniphan County Library - Total</t>
  </si>
  <si>
    <t>Prairie Hills Schools - Total</t>
  </si>
  <si>
    <t>Next Search Catalog Total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</si>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</sst>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right" vertical="center"/>
    </xf>
    <xf numFmtId="0" fontId="0" fillId="0" borderId="11" xfId="0" applyBorder="1"/>
    <xf numFmtId="0" fontId="0" fillId="0" borderId="12" xfId="0" applyBorder="1"/>
    <xf numFmtId="0" fontId="0" fillId="33" borderId="13" xfId="0" applyFill="1" applyBorder="1" applyAlignment="1">
      <alignment horizontal="right" vertical="center"/>
    </xf>
    <xf numFmtId="0" fontId="0" fillId="33" borderId="14" xfId="0" applyFill="1" applyBorder="1"/>
    <xf numFmtId="0" fontId="0" fillId="33" borderId="15" xfId="0" applyFill="1" applyBorder="1"/>
    <xf numFmtId="0" fontId="0" fillId="0" borderId="13" xfId="0" applyBorder="1" applyAlignment="1">
      <alignment horizontal="right" vertical="center"/>
    </xf>
    <xf numFmtId="0" fontId="0" fillId="0" borderId="14" xfId="0" applyBorder="1"/>
    <xf numFmtId="0" fontId="0" fillId="0" borderId="15" xfId="0" applyBorder="1"/>
    <xf numFmtId="0" fontId="0" fillId="34" borderId="13" xfId="0" applyFill="1" applyBorder="1" applyAlignment="1">
      <alignment horizontal="right" vertical="center"/>
    </xf>
    <xf numFmtId="0" fontId="0" fillId="34" borderId="14" xfId="0" applyFill="1" applyBorder="1"/>
    <xf numFmtId="0" fontId="0" fillId="34" borderId="15" xfId="0" applyFill="1" applyBorder="1"/>
    <xf numFmtId="0" fontId="0" fillId="35" borderId="13" xfId="0" applyFill="1" applyBorder="1" applyAlignment="1">
      <alignment horizontal="right" vertical="center"/>
    </xf>
    <xf numFmtId="0" fontId="0" fillId="35" borderId="14" xfId="0" applyFill="1" applyBorder="1"/>
    <xf numFmtId="0" fontId="0" fillId="35" borderId="15" xfId="0" applyFill="1" applyBorder="1"/>
    <xf numFmtId="0" fontId="0" fillId="36" borderId="13" xfId="0" applyFill="1" applyBorder="1" applyAlignment="1">
      <alignment horizontal="right" vertical="center"/>
    </xf>
    <xf numFmtId="0" fontId="0" fillId="36" borderId="14" xfId="0" applyFill="1" applyBorder="1"/>
    <xf numFmtId="0" fontId="0" fillId="36" borderId="15" xfId="0" applyFill="1" applyBorder="1"/>
    <xf numFmtId="0" fontId="0" fillId="37" borderId="13" xfId="0" applyFill="1" applyBorder="1" applyAlignment="1">
      <alignment horizontal="right" vertical="center"/>
    </xf>
    <xf numFmtId="0" fontId="0" fillId="37" borderId="14" xfId="0" applyFill="1" applyBorder="1"/>
    <xf numFmtId="0" fontId="0" fillId="37" borderId="15" xfId="0" applyFill="1" applyBorder="1"/>
    <xf numFmtId="0" fontId="0" fillId="38" borderId="17" xfId="0" applyFill="1" applyBorder="1" applyAlignment="1">
      <alignment horizontal="right" vertical="center"/>
    </xf>
    <xf numFmtId="0" fontId="0" fillId="38" borderId="18" xfId="0" applyFill="1" applyBorder="1"/>
    <xf numFmtId="0" fontId="0" fillId="38" borderId="19" xfId="0" applyFill="1" applyBorder="1"/>
    <xf numFmtId="0" fontId="0" fillId="39" borderId="13" xfId="0" applyFill="1" applyBorder="1" applyAlignment="1">
      <alignment horizontal="right" vertical="center"/>
    </xf>
    <xf numFmtId="0" fontId="0" fillId="39" borderId="14" xfId="0" applyFill="1" applyBorder="1"/>
    <xf numFmtId="0" fontId="0" fillId="39" borderId="16" xfId="0" applyFill="1" applyBorder="1"/>
    <xf numFmtId="0" fontId="0" fillId="40" borderId="13" xfId="0" applyFill="1" applyBorder="1" applyAlignment="1">
      <alignment horizontal="right" vertical="center"/>
    </xf>
    <xf numFmtId="0" fontId="0" fillId="40" borderId="14" xfId="0" applyFill="1" applyBorder="1"/>
    <xf numFmtId="0" fontId="0" fillId="40" borderId="16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7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45.6640625" style="1" customWidth="1"/>
    <col min="2" max="10" width="15.6640625" customWidth="1"/>
  </cols>
  <sheetData>
    <row r="1" spans="1:10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>
        <v>2760</v>
      </c>
      <c r="C2" s="4">
        <v>1272</v>
      </c>
      <c r="D2" s="4">
        <v>125</v>
      </c>
      <c r="E2" s="4">
        <v>11</v>
      </c>
      <c r="F2" s="4">
        <v>33</v>
      </c>
      <c r="G2" s="4">
        <v>169</v>
      </c>
      <c r="H2" s="4">
        <v>2</v>
      </c>
      <c r="I2" s="4">
        <v>404</v>
      </c>
      <c r="J2" s="5">
        <v>2356</v>
      </c>
    </row>
    <row r="3" spans="1:10" x14ac:dyDescent="0.3">
      <c r="A3" s="6" t="s">
        <v>11</v>
      </c>
      <c r="B3" s="7">
        <v>1320</v>
      </c>
      <c r="C3" s="7">
        <v>539</v>
      </c>
      <c r="D3" s="7">
        <v>27</v>
      </c>
      <c r="E3" s="7">
        <v>3</v>
      </c>
      <c r="F3" s="7">
        <v>17</v>
      </c>
      <c r="G3" s="7">
        <v>47</v>
      </c>
      <c r="H3" s="7">
        <v>2</v>
      </c>
      <c r="I3" s="7">
        <v>178</v>
      </c>
      <c r="J3" s="8">
        <v>1142</v>
      </c>
    </row>
    <row r="4" spans="1:10" x14ac:dyDescent="0.3">
      <c r="A4" s="9" t="s">
        <v>12</v>
      </c>
      <c r="B4" s="10">
        <v>3182</v>
      </c>
      <c r="C4" s="10">
        <v>1318</v>
      </c>
      <c r="D4" s="10">
        <v>141</v>
      </c>
      <c r="E4" s="10">
        <v>12</v>
      </c>
      <c r="F4" s="10">
        <v>96</v>
      </c>
      <c r="G4" s="10">
        <v>249</v>
      </c>
      <c r="H4" s="10">
        <v>0</v>
      </c>
      <c r="I4" s="10">
        <v>530</v>
      </c>
      <c r="J4" s="11">
        <v>2652</v>
      </c>
    </row>
    <row r="5" spans="1:10" x14ac:dyDescent="0.3">
      <c r="A5" s="6" t="s">
        <v>13</v>
      </c>
      <c r="B5" s="7">
        <v>26</v>
      </c>
      <c r="C5" s="7">
        <v>12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14</v>
      </c>
      <c r="J5" s="8">
        <v>12</v>
      </c>
    </row>
    <row r="6" spans="1:10" x14ac:dyDescent="0.3">
      <c r="A6" s="9" t="s">
        <v>14</v>
      </c>
      <c r="B6" s="10">
        <v>3254</v>
      </c>
      <c r="C6" s="10">
        <v>1313</v>
      </c>
      <c r="D6" s="10">
        <v>247</v>
      </c>
      <c r="E6" s="10">
        <v>4</v>
      </c>
      <c r="F6" s="10">
        <v>70</v>
      </c>
      <c r="G6" s="10">
        <v>321</v>
      </c>
      <c r="H6" s="10">
        <v>25</v>
      </c>
      <c r="I6" s="10">
        <v>910</v>
      </c>
      <c r="J6" s="11">
        <v>2344</v>
      </c>
    </row>
    <row r="7" spans="1:10" x14ac:dyDescent="0.3">
      <c r="A7" s="6" t="s">
        <v>15</v>
      </c>
      <c r="B7" s="7">
        <v>326</v>
      </c>
      <c r="C7" s="7">
        <v>124</v>
      </c>
      <c r="D7" s="7">
        <v>4</v>
      </c>
      <c r="E7" s="7">
        <v>0</v>
      </c>
      <c r="F7" s="7">
        <v>11</v>
      </c>
      <c r="G7" s="7">
        <v>15</v>
      </c>
      <c r="H7" s="7">
        <v>9</v>
      </c>
      <c r="I7" s="7">
        <v>66</v>
      </c>
      <c r="J7" s="8">
        <v>260</v>
      </c>
    </row>
    <row r="8" spans="1:10" x14ac:dyDescent="0.3">
      <c r="A8" s="9" t="s">
        <v>16</v>
      </c>
      <c r="B8" s="10">
        <v>206</v>
      </c>
      <c r="C8" s="10">
        <v>95</v>
      </c>
      <c r="D8" s="10">
        <v>2</v>
      </c>
      <c r="E8" s="10">
        <v>3</v>
      </c>
      <c r="F8" s="10">
        <v>6</v>
      </c>
      <c r="G8" s="10">
        <v>11</v>
      </c>
      <c r="H8" s="10">
        <v>0</v>
      </c>
      <c r="I8" s="10">
        <v>94</v>
      </c>
      <c r="J8" s="11">
        <v>112</v>
      </c>
    </row>
    <row r="9" spans="1:10" x14ac:dyDescent="0.3">
      <c r="A9" s="6" t="s">
        <v>17</v>
      </c>
      <c r="B9" s="7">
        <v>120</v>
      </c>
      <c r="C9" s="7">
        <v>62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18</v>
      </c>
      <c r="J9" s="8">
        <v>102</v>
      </c>
    </row>
    <row r="10" spans="1:10" x14ac:dyDescent="0.3">
      <c r="A10" s="9" t="s">
        <v>18</v>
      </c>
      <c r="B10" s="10">
        <v>3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3</v>
      </c>
      <c r="J10" s="11">
        <v>0</v>
      </c>
    </row>
    <row r="11" spans="1:10" x14ac:dyDescent="0.3">
      <c r="A11" s="6" t="s">
        <v>19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8">
        <v>0</v>
      </c>
    </row>
    <row r="12" spans="1:10" x14ac:dyDescent="0.3">
      <c r="A12" s="12" t="s">
        <v>20</v>
      </c>
      <c r="B12" s="13">
        <v>8</v>
      </c>
      <c r="C12" s="13">
        <v>9</v>
      </c>
      <c r="D12" s="13">
        <v>2</v>
      </c>
      <c r="E12" s="13">
        <v>0</v>
      </c>
      <c r="F12" s="13">
        <v>0</v>
      </c>
      <c r="G12" s="13">
        <v>2</v>
      </c>
      <c r="H12" s="13">
        <v>0</v>
      </c>
      <c r="I12" s="13">
        <v>4</v>
      </c>
      <c r="J12" s="14">
        <v>4</v>
      </c>
    </row>
    <row r="13" spans="1:10" x14ac:dyDescent="0.3">
      <c r="A13" s="15" t="s">
        <v>21</v>
      </c>
      <c r="B13" s="16">
        <v>104</v>
      </c>
      <c r="C13" s="16">
        <v>47</v>
      </c>
      <c r="D13" s="16">
        <v>1</v>
      </c>
      <c r="E13" s="16">
        <v>0</v>
      </c>
      <c r="F13" s="16">
        <v>2</v>
      </c>
      <c r="G13" s="16">
        <v>3</v>
      </c>
      <c r="H13" s="16">
        <v>0</v>
      </c>
      <c r="I13" s="16">
        <v>34</v>
      </c>
      <c r="J13" s="17">
        <v>70</v>
      </c>
    </row>
    <row r="14" spans="1:10" x14ac:dyDescent="0.3">
      <c r="A14" s="12" t="s">
        <v>22</v>
      </c>
      <c r="B14" s="13">
        <v>544</v>
      </c>
      <c r="C14" s="13">
        <v>221</v>
      </c>
      <c r="D14" s="13">
        <v>19</v>
      </c>
      <c r="E14" s="13">
        <v>3</v>
      </c>
      <c r="F14" s="13">
        <v>17</v>
      </c>
      <c r="G14" s="13">
        <v>39</v>
      </c>
      <c r="H14" s="13">
        <v>0</v>
      </c>
      <c r="I14" s="13">
        <v>266</v>
      </c>
      <c r="J14" s="14">
        <v>278</v>
      </c>
    </row>
    <row r="15" spans="1:10" x14ac:dyDescent="0.3">
      <c r="A15" s="15" t="s">
        <v>23</v>
      </c>
      <c r="B15" s="16">
        <v>160</v>
      </c>
      <c r="C15" s="16">
        <v>65</v>
      </c>
      <c r="D15" s="16">
        <v>4</v>
      </c>
      <c r="E15" s="16">
        <v>4</v>
      </c>
      <c r="F15" s="16">
        <v>6</v>
      </c>
      <c r="G15" s="16">
        <v>14</v>
      </c>
      <c r="H15" s="16">
        <v>0</v>
      </c>
      <c r="I15" s="16">
        <v>62</v>
      </c>
      <c r="J15" s="17">
        <v>98</v>
      </c>
    </row>
    <row r="16" spans="1:10" x14ac:dyDescent="0.3">
      <c r="A16" s="9" t="s">
        <v>24</v>
      </c>
      <c r="B16" s="10">
        <v>130</v>
      </c>
      <c r="C16" s="10">
        <v>71</v>
      </c>
      <c r="D16" s="10">
        <v>0</v>
      </c>
      <c r="E16" s="10">
        <v>0</v>
      </c>
      <c r="F16" s="10">
        <v>3</v>
      </c>
      <c r="G16" s="10">
        <v>3</v>
      </c>
      <c r="H16" s="10">
        <v>0</v>
      </c>
      <c r="I16" s="10">
        <v>74</v>
      </c>
      <c r="J16" s="11">
        <v>56</v>
      </c>
    </row>
    <row r="17" spans="1:10" x14ac:dyDescent="0.3">
      <c r="A17" s="6" t="s">
        <v>25</v>
      </c>
      <c r="B17" s="7">
        <v>1322</v>
      </c>
      <c r="C17" s="7">
        <v>597</v>
      </c>
      <c r="D17" s="7">
        <v>59</v>
      </c>
      <c r="E17" s="7">
        <v>4</v>
      </c>
      <c r="F17" s="7">
        <v>35</v>
      </c>
      <c r="G17" s="7">
        <v>98</v>
      </c>
      <c r="H17" s="7">
        <v>0</v>
      </c>
      <c r="I17" s="7">
        <v>366</v>
      </c>
      <c r="J17" s="8">
        <v>956</v>
      </c>
    </row>
    <row r="18" spans="1:10" x14ac:dyDescent="0.3">
      <c r="A18" s="9" t="s">
        <v>26</v>
      </c>
      <c r="B18" s="10">
        <v>54</v>
      </c>
      <c r="C18" s="10">
        <v>31</v>
      </c>
      <c r="D18" s="10">
        <v>2</v>
      </c>
      <c r="E18" s="10">
        <v>0</v>
      </c>
      <c r="F18" s="10">
        <v>2</v>
      </c>
      <c r="G18" s="10">
        <v>4</v>
      </c>
      <c r="H18" s="10">
        <v>0</v>
      </c>
      <c r="I18" s="10">
        <v>6</v>
      </c>
      <c r="J18" s="11">
        <v>48</v>
      </c>
    </row>
    <row r="19" spans="1:10" x14ac:dyDescent="0.3">
      <c r="A19" s="6" t="s">
        <v>27</v>
      </c>
      <c r="B19" s="7">
        <v>1140</v>
      </c>
      <c r="C19" s="7">
        <v>415</v>
      </c>
      <c r="D19" s="7">
        <v>27</v>
      </c>
      <c r="E19" s="7">
        <v>2</v>
      </c>
      <c r="F19" s="7">
        <v>24</v>
      </c>
      <c r="G19" s="7">
        <v>53</v>
      </c>
      <c r="H19" s="7">
        <v>0</v>
      </c>
      <c r="I19" s="7">
        <v>302</v>
      </c>
      <c r="J19" s="8">
        <v>838</v>
      </c>
    </row>
    <row r="20" spans="1:10" x14ac:dyDescent="0.3">
      <c r="A20" s="9" t="s">
        <v>28</v>
      </c>
      <c r="B20" s="10">
        <v>3</v>
      </c>
      <c r="C20" s="10">
        <v>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2</v>
      </c>
      <c r="J20" s="11">
        <v>1</v>
      </c>
    </row>
    <row r="21" spans="1:10" x14ac:dyDescent="0.3">
      <c r="A21" s="6" t="s">
        <v>29</v>
      </c>
      <c r="B21" s="7">
        <v>966</v>
      </c>
      <c r="C21" s="7">
        <v>442</v>
      </c>
      <c r="D21" s="7">
        <v>12</v>
      </c>
      <c r="E21" s="7">
        <v>2</v>
      </c>
      <c r="F21" s="7">
        <v>15</v>
      </c>
      <c r="G21" s="7">
        <v>29</v>
      </c>
      <c r="H21" s="7">
        <v>0</v>
      </c>
      <c r="I21" s="7">
        <v>192</v>
      </c>
      <c r="J21" s="8">
        <v>774</v>
      </c>
    </row>
    <row r="22" spans="1:10" x14ac:dyDescent="0.3">
      <c r="A22" s="9" t="s">
        <v>30</v>
      </c>
      <c r="B22" s="10">
        <v>86</v>
      </c>
      <c r="C22" s="10">
        <v>60</v>
      </c>
      <c r="D22" s="10">
        <v>0</v>
      </c>
      <c r="E22" s="10">
        <v>0</v>
      </c>
      <c r="F22" s="10">
        <v>5</v>
      </c>
      <c r="G22" s="10">
        <v>5</v>
      </c>
      <c r="H22" s="10">
        <v>0</v>
      </c>
      <c r="I22" s="10">
        <v>22</v>
      </c>
      <c r="J22" s="11">
        <v>64</v>
      </c>
    </row>
    <row r="23" spans="1:10" x14ac:dyDescent="0.3">
      <c r="A23" s="6" t="s">
        <v>31</v>
      </c>
      <c r="B23" s="7">
        <v>1382</v>
      </c>
      <c r="C23" s="7">
        <v>487</v>
      </c>
      <c r="D23" s="7">
        <v>93</v>
      </c>
      <c r="E23" s="7">
        <v>18</v>
      </c>
      <c r="F23" s="7">
        <v>30</v>
      </c>
      <c r="G23" s="7">
        <v>141</v>
      </c>
      <c r="H23" s="7">
        <v>3</v>
      </c>
      <c r="I23" s="7">
        <v>230</v>
      </c>
      <c r="J23" s="8">
        <v>1152</v>
      </c>
    </row>
    <row r="24" spans="1:10" x14ac:dyDescent="0.3">
      <c r="A24" s="9" t="s">
        <v>32</v>
      </c>
      <c r="B24" s="10">
        <v>4004</v>
      </c>
      <c r="C24" s="10">
        <v>1782</v>
      </c>
      <c r="D24" s="10">
        <v>161</v>
      </c>
      <c r="E24" s="10">
        <v>20</v>
      </c>
      <c r="F24" s="10">
        <v>73</v>
      </c>
      <c r="G24" s="10">
        <v>254</v>
      </c>
      <c r="H24" s="10">
        <v>0</v>
      </c>
      <c r="I24" s="10">
        <v>488</v>
      </c>
      <c r="J24" s="11">
        <v>3516</v>
      </c>
    </row>
    <row r="25" spans="1:10" x14ac:dyDescent="0.3">
      <c r="A25" s="6" t="s">
        <v>33</v>
      </c>
      <c r="B25" s="7">
        <v>320</v>
      </c>
      <c r="C25" s="7">
        <v>139</v>
      </c>
      <c r="D25" s="7">
        <v>10</v>
      </c>
      <c r="E25" s="7">
        <v>1</v>
      </c>
      <c r="F25" s="7">
        <v>11</v>
      </c>
      <c r="G25" s="7">
        <v>22</v>
      </c>
      <c r="H25" s="7">
        <v>0</v>
      </c>
      <c r="I25" s="7">
        <v>48</v>
      </c>
      <c r="J25" s="8">
        <v>272</v>
      </c>
    </row>
    <row r="26" spans="1:10" x14ac:dyDescent="0.3">
      <c r="A26" s="9" t="s">
        <v>34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1">
        <v>0</v>
      </c>
    </row>
    <row r="27" spans="1:10" x14ac:dyDescent="0.3">
      <c r="A27" s="6" t="s">
        <v>35</v>
      </c>
      <c r="B27" s="7">
        <v>334</v>
      </c>
      <c r="C27" s="7">
        <v>163</v>
      </c>
      <c r="D27" s="7">
        <v>2</v>
      </c>
      <c r="E27" s="7">
        <v>1</v>
      </c>
      <c r="F27" s="7">
        <v>4</v>
      </c>
      <c r="G27" s="7">
        <v>7</v>
      </c>
      <c r="H27" s="7">
        <v>0</v>
      </c>
      <c r="I27" s="7">
        <v>110</v>
      </c>
      <c r="J27" s="8">
        <v>224</v>
      </c>
    </row>
    <row r="28" spans="1:10" x14ac:dyDescent="0.3">
      <c r="A28" s="9" t="s">
        <v>36</v>
      </c>
      <c r="B28" s="10">
        <v>244</v>
      </c>
      <c r="C28" s="10">
        <v>98</v>
      </c>
      <c r="D28" s="10">
        <v>19</v>
      </c>
      <c r="E28" s="10">
        <v>1</v>
      </c>
      <c r="F28" s="10">
        <v>4</v>
      </c>
      <c r="G28" s="10">
        <v>24</v>
      </c>
      <c r="H28" s="10">
        <v>0</v>
      </c>
      <c r="I28" s="10">
        <v>38</v>
      </c>
      <c r="J28" s="11">
        <v>206</v>
      </c>
    </row>
    <row r="29" spans="1:10" x14ac:dyDescent="0.3">
      <c r="A29" s="6" t="s">
        <v>37</v>
      </c>
      <c r="B29" s="7">
        <v>1718</v>
      </c>
      <c r="C29" s="7">
        <v>787</v>
      </c>
      <c r="D29" s="7">
        <v>21</v>
      </c>
      <c r="E29" s="7">
        <v>8</v>
      </c>
      <c r="F29" s="7">
        <v>29</v>
      </c>
      <c r="G29" s="7">
        <v>58</v>
      </c>
      <c r="H29" s="7">
        <v>1</v>
      </c>
      <c r="I29" s="7">
        <v>424</v>
      </c>
      <c r="J29" s="8">
        <v>1294</v>
      </c>
    </row>
    <row r="30" spans="1:10" x14ac:dyDescent="0.3">
      <c r="A30" s="9" t="s">
        <v>38</v>
      </c>
      <c r="B30" s="10">
        <v>18</v>
      </c>
      <c r="C30" s="10">
        <v>19</v>
      </c>
      <c r="D30" s="10">
        <v>0</v>
      </c>
      <c r="E30" s="10">
        <v>0</v>
      </c>
      <c r="F30" s="10">
        <v>1</v>
      </c>
      <c r="G30" s="10">
        <v>1</v>
      </c>
      <c r="H30" s="10">
        <v>0</v>
      </c>
      <c r="I30" s="10">
        <v>12</v>
      </c>
      <c r="J30" s="11">
        <v>6</v>
      </c>
    </row>
    <row r="31" spans="1:10" x14ac:dyDescent="0.3">
      <c r="A31" s="6" t="s">
        <v>39</v>
      </c>
      <c r="B31" s="7">
        <v>238</v>
      </c>
      <c r="C31" s="7">
        <v>105</v>
      </c>
      <c r="D31" s="7">
        <v>3</v>
      </c>
      <c r="E31" s="7">
        <v>0</v>
      </c>
      <c r="F31" s="7">
        <v>9</v>
      </c>
      <c r="G31" s="7">
        <v>12</v>
      </c>
      <c r="H31" s="7">
        <v>7</v>
      </c>
      <c r="I31" s="7">
        <v>16</v>
      </c>
      <c r="J31" s="8">
        <v>222</v>
      </c>
    </row>
    <row r="32" spans="1:10" x14ac:dyDescent="0.3">
      <c r="A32" s="9" t="s">
        <v>40</v>
      </c>
      <c r="B32" s="10">
        <v>1032</v>
      </c>
      <c r="C32" s="10">
        <v>384</v>
      </c>
      <c r="D32" s="10">
        <v>101</v>
      </c>
      <c r="E32" s="10">
        <v>8</v>
      </c>
      <c r="F32" s="10">
        <v>37</v>
      </c>
      <c r="G32" s="10">
        <v>146</v>
      </c>
      <c r="H32" s="10">
        <v>18</v>
      </c>
      <c r="I32" s="10">
        <v>382</v>
      </c>
      <c r="J32" s="11">
        <v>650</v>
      </c>
    </row>
    <row r="33" spans="1:10" x14ac:dyDescent="0.3">
      <c r="A33" s="6" t="s">
        <v>41</v>
      </c>
      <c r="B33" s="7">
        <v>876</v>
      </c>
      <c r="C33" s="7">
        <v>369</v>
      </c>
      <c r="D33" s="7">
        <v>11</v>
      </c>
      <c r="E33" s="7">
        <v>2</v>
      </c>
      <c r="F33" s="7">
        <v>45</v>
      </c>
      <c r="G33" s="7">
        <v>58</v>
      </c>
      <c r="H33" s="7">
        <v>17</v>
      </c>
      <c r="I33" s="7">
        <v>388</v>
      </c>
      <c r="J33" s="8">
        <v>488</v>
      </c>
    </row>
    <row r="34" spans="1:10" x14ac:dyDescent="0.3">
      <c r="A34" s="9" t="s">
        <v>42</v>
      </c>
      <c r="B34" s="10">
        <v>264</v>
      </c>
      <c r="C34" s="10">
        <v>141</v>
      </c>
      <c r="D34" s="10">
        <v>3</v>
      </c>
      <c r="E34" s="10">
        <v>1</v>
      </c>
      <c r="F34" s="10">
        <v>3</v>
      </c>
      <c r="G34" s="10">
        <v>7</v>
      </c>
      <c r="H34" s="10">
        <v>0</v>
      </c>
      <c r="I34" s="10">
        <v>88</v>
      </c>
      <c r="J34" s="11">
        <v>176</v>
      </c>
    </row>
    <row r="35" spans="1:10" x14ac:dyDescent="0.3">
      <c r="A35" s="6" t="s">
        <v>43</v>
      </c>
      <c r="B35" s="7">
        <v>2456</v>
      </c>
      <c r="C35" s="7">
        <v>996</v>
      </c>
      <c r="D35" s="7">
        <v>175</v>
      </c>
      <c r="E35" s="7">
        <v>16</v>
      </c>
      <c r="F35" s="7">
        <v>45</v>
      </c>
      <c r="G35" s="7">
        <v>236</v>
      </c>
      <c r="H35" s="7">
        <v>12</v>
      </c>
      <c r="I35" s="7">
        <v>544</v>
      </c>
      <c r="J35" s="8">
        <v>1912</v>
      </c>
    </row>
    <row r="36" spans="1:10" x14ac:dyDescent="0.3">
      <c r="A36" s="9" t="s">
        <v>44</v>
      </c>
      <c r="B36" s="10">
        <v>388</v>
      </c>
      <c r="C36" s="10">
        <v>186</v>
      </c>
      <c r="D36" s="10">
        <v>2</v>
      </c>
      <c r="E36" s="10">
        <v>1</v>
      </c>
      <c r="F36" s="10">
        <v>12</v>
      </c>
      <c r="G36" s="10">
        <v>15</v>
      </c>
      <c r="H36" s="10">
        <v>0</v>
      </c>
      <c r="I36" s="10">
        <v>128</v>
      </c>
      <c r="J36" s="11">
        <v>260</v>
      </c>
    </row>
    <row r="37" spans="1:10" x14ac:dyDescent="0.3">
      <c r="A37" s="6" t="s">
        <v>45</v>
      </c>
      <c r="B37" s="7">
        <v>1014</v>
      </c>
      <c r="C37" s="7">
        <v>359</v>
      </c>
      <c r="D37" s="7">
        <v>101</v>
      </c>
      <c r="E37" s="7">
        <v>7</v>
      </c>
      <c r="F37" s="7">
        <v>34</v>
      </c>
      <c r="G37" s="7">
        <v>142</v>
      </c>
      <c r="H37" s="7">
        <v>11</v>
      </c>
      <c r="I37" s="7">
        <v>278</v>
      </c>
      <c r="J37" s="8">
        <v>736</v>
      </c>
    </row>
    <row r="38" spans="1:10" x14ac:dyDescent="0.3">
      <c r="A38" s="9" t="s">
        <v>46</v>
      </c>
      <c r="B38" s="10">
        <v>13</v>
      </c>
      <c r="C38" s="10">
        <v>18</v>
      </c>
      <c r="D38" s="10">
        <v>0</v>
      </c>
      <c r="E38" s="10">
        <v>0</v>
      </c>
      <c r="F38" s="10">
        <v>1</v>
      </c>
      <c r="G38" s="10">
        <v>1</v>
      </c>
      <c r="H38" s="10">
        <v>0</v>
      </c>
      <c r="I38" s="10">
        <v>2</v>
      </c>
      <c r="J38" s="11">
        <v>11</v>
      </c>
    </row>
    <row r="39" spans="1:10" x14ac:dyDescent="0.3">
      <c r="A39" s="6" t="s">
        <v>47</v>
      </c>
      <c r="B39" s="7">
        <v>510</v>
      </c>
      <c r="C39" s="7">
        <v>95</v>
      </c>
      <c r="D39" s="7">
        <v>134</v>
      </c>
      <c r="E39" s="7">
        <v>0</v>
      </c>
      <c r="F39" s="7">
        <v>5</v>
      </c>
      <c r="G39" s="7">
        <v>139</v>
      </c>
      <c r="H39" s="7">
        <v>0</v>
      </c>
      <c r="I39" s="7">
        <v>226</v>
      </c>
      <c r="J39" s="8">
        <v>284</v>
      </c>
    </row>
    <row r="40" spans="1:10" x14ac:dyDescent="0.3">
      <c r="A40" s="18" t="s">
        <v>48</v>
      </c>
      <c r="B40" s="19">
        <v>28</v>
      </c>
      <c r="C40" s="19">
        <v>15</v>
      </c>
      <c r="D40" s="19">
        <v>1</v>
      </c>
      <c r="E40" s="19">
        <v>0</v>
      </c>
      <c r="F40" s="19">
        <v>0</v>
      </c>
      <c r="G40" s="19">
        <v>1</v>
      </c>
      <c r="H40" s="19">
        <v>0</v>
      </c>
      <c r="I40" s="19">
        <v>10</v>
      </c>
      <c r="J40" s="20">
        <v>18</v>
      </c>
    </row>
    <row r="41" spans="1:10" x14ac:dyDescent="0.3">
      <c r="A41" s="21" t="s">
        <v>49</v>
      </c>
      <c r="B41" s="22">
        <v>192</v>
      </c>
      <c r="C41" s="22">
        <v>90</v>
      </c>
      <c r="D41" s="22">
        <v>6</v>
      </c>
      <c r="E41" s="22">
        <v>1</v>
      </c>
      <c r="F41" s="22">
        <v>0</v>
      </c>
      <c r="G41" s="22">
        <v>7</v>
      </c>
      <c r="H41" s="22">
        <v>0</v>
      </c>
      <c r="I41" s="22">
        <v>124</v>
      </c>
      <c r="J41" s="23">
        <v>68</v>
      </c>
    </row>
    <row r="42" spans="1:10" x14ac:dyDescent="0.3">
      <c r="A42" s="18" t="s">
        <v>50</v>
      </c>
      <c r="B42" s="19">
        <v>10</v>
      </c>
      <c r="C42" s="19">
        <v>9</v>
      </c>
      <c r="D42" s="19">
        <v>0</v>
      </c>
      <c r="E42" s="19">
        <v>0</v>
      </c>
      <c r="F42" s="19">
        <v>1</v>
      </c>
      <c r="G42" s="19">
        <v>1</v>
      </c>
      <c r="H42" s="19">
        <v>0</v>
      </c>
      <c r="I42" s="19">
        <v>3</v>
      </c>
      <c r="J42" s="20">
        <v>7</v>
      </c>
    </row>
    <row r="43" spans="1:10" x14ac:dyDescent="0.3">
      <c r="A43" s="21" t="s">
        <v>51</v>
      </c>
      <c r="B43" s="22">
        <v>50</v>
      </c>
      <c r="C43" s="22">
        <v>12</v>
      </c>
      <c r="D43" s="22">
        <v>0</v>
      </c>
      <c r="E43" s="22">
        <v>0</v>
      </c>
      <c r="F43" s="22">
        <v>2</v>
      </c>
      <c r="G43" s="22">
        <v>2</v>
      </c>
      <c r="H43" s="22">
        <v>0</v>
      </c>
      <c r="I43" s="22">
        <v>38</v>
      </c>
      <c r="J43" s="23">
        <v>12</v>
      </c>
    </row>
    <row r="44" spans="1:10" x14ac:dyDescent="0.3">
      <c r="A44" s="6" t="s">
        <v>52</v>
      </c>
      <c r="B44" s="7">
        <v>90</v>
      </c>
      <c r="C44" s="7">
        <v>33</v>
      </c>
      <c r="D44" s="7">
        <v>0</v>
      </c>
      <c r="E44" s="7">
        <v>0</v>
      </c>
      <c r="F44" s="7">
        <v>2</v>
      </c>
      <c r="G44" s="7">
        <v>2</v>
      </c>
      <c r="H44" s="7">
        <v>0</v>
      </c>
      <c r="I44" s="7">
        <v>44</v>
      </c>
      <c r="J44" s="8">
        <v>46</v>
      </c>
    </row>
    <row r="45" spans="1:10" x14ac:dyDescent="0.3">
      <c r="A45" s="9" t="s">
        <v>53</v>
      </c>
      <c r="B45" s="10">
        <v>1066</v>
      </c>
      <c r="C45" s="10">
        <v>429</v>
      </c>
      <c r="D45" s="10">
        <v>35</v>
      </c>
      <c r="E45" s="10">
        <v>10</v>
      </c>
      <c r="F45" s="10">
        <v>20</v>
      </c>
      <c r="G45" s="10">
        <v>65</v>
      </c>
      <c r="H45" s="10">
        <v>3</v>
      </c>
      <c r="I45" s="10">
        <v>264</v>
      </c>
      <c r="J45" s="11">
        <v>802</v>
      </c>
    </row>
    <row r="46" spans="1:10" x14ac:dyDescent="0.3">
      <c r="A46" s="6" t="s">
        <v>54</v>
      </c>
      <c r="B46" s="7">
        <v>1934</v>
      </c>
      <c r="C46" s="7">
        <v>906</v>
      </c>
      <c r="D46" s="7">
        <v>2</v>
      </c>
      <c r="E46" s="7">
        <v>6</v>
      </c>
      <c r="F46" s="7">
        <v>31</v>
      </c>
      <c r="G46" s="7">
        <v>39</v>
      </c>
      <c r="H46" s="7">
        <v>0</v>
      </c>
      <c r="I46" s="7">
        <v>240</v>
      </c>
      <c r="J46" s="8">
        <v>1694</v>
      </c>
    </row>
    <row r="47" spans="1:10" x14ac:dyDescent="0.3">
      <c r="A47" s="9" t="s">
        <v>55</v>
      </c>
      <c r="B47" s="10">
        <v>424</v>
      </c>
      <c r="C47" s="10">
        <v>179</v>
      </c>
      <c r="D47" s="10">
        <v>7</v>
      </c>
      <c r="E47" s="10">
        <v>7</v>
      </c>
      <c r="F47" s="10">
        <v>8</v>
      </c>
      <c r="G47" s="10">
        <v>22</v>
      </c>
      <c r="H47" s="10">
        <v>1</v>
      </c>
      <c r="I47" s="10">
        <v>118</v>
      </c>
      <c r="J47" s="11">
        <v>306</v>
      </c>
    </row>
    <row r="48" spans="1:10" x14ac:dyDescent="0.3">
      <c r="A48" s="6" t="s">
        <v>56</v>
      </c>
      <c r="B48" s="7">
        <v>786</v>
      </c>
      <c r="C48" s="7">
        <v>294</v>
      </c>
      <c r="D48" s="7">
        <v>10</v>
      </c>
      <c r="E48" s="7">
        <v>6</v>
      </c>
      <c r="F48" s="7">
        <v>41</v>
      </c>
      <c r="G48" s="7">
        <v>57</v>
      </c>
      <c r="H48" s="7">
        <v>0</v>
      </c>
      <c r="I48" s="7">
        <v>120</v>
      </c>
      <c r="J48" s="8">
        <v>666</v>
      </c>
    </row>
    <row r="49" spans="1:10" x14ac:dyDescent="0.3">
      <c r="A49" s="9" t="s">
        <v>57</v>
      </c>
      <c r="B49" s="10">
        <v>1916</v>
      </c>
      <c r="C49" s="10">
        <v>792</v>
      </c>
      <c r="D49" s="10">
        <v>71</v>
      </c>
      <c r="E49" s="10">
        <v>5</v>
      </c>
      <c r="F49" s="10">
        <v>40</v>
      </c>
      <c r="G49" s="10">
        <v>116</v>
      </c>
      <c r="H49" s="10">
        <v>14</v>
      </c>
      <c r="I49" s="10">
        <v>432</v>
      </c>
      <c r="J49" s="11">
        <v>1484</v>
      </c>
    </row>
    <row r="50" spans="1:10" x14ac:dyDescent="0.3">
      <c r="A50" s="6" t="s">
        <v>58</v>
      </c>
      <c r="B50" s="7">
        <v>256</v>
      </c>
      <c r="C50" s="7">
        <v>104</v>
      </c>
      <c r="D50" s="7">
        <v>26</v>
      </c>
      <c r="E50" s="7">
        <v>1</v>
      </c>
      <c r="F50" s="7">
        <v>7</v>
      </c>
      <c r="G50" s="7">
        <v>34</v>
      </c>
      <c r="H50" s="7">
        <v>0</v>
      </c>
      <c r="I50" s="7">
        <v>110</v>
      </c>
      <c r="J50" s="8">
        <v>146</v>
      </c>
    </row>
    <row r="51" spans="1:10" x14ac:dyDescent="0.3">
      <c r="A51" s="9" t="s">
        <v>59</v>
      </c>
      <c r="B51" s="10">
        <v>1388</v>
      </c>
      <c r="C51" s="10">
        <v>520</v>
      </c>
      <c r="D51" s="10">
        <v>63</v>
      </c>
      <c r="E51" s="10">
        <v>11</v>
      </c>
      <c r="F51" s="10">
        <v>31</v>
      </c>
      <c r="G51" s="10">
        <v>105</v>
      </c>
      <c r="H51" s="10">
        <v>1</v>
      </c>
      <c r="I51" s="10">
        <v>120</v>
      </c>
      <c r="J51" s="11">
        <v>1268</v>
      </c>
    </row>
    <row r="52" spans="1:10" x14ac:dyDescent="0.3">
      <c r="A52" s="6" t="s">
        <v>60</v>
      </c>
      <c r="B52" s="7">
        <v>148</v>
      </c>
      <c r="C52" s="7">
        <v>53</v>
      </c>
      <c r="D52" s="7">
        <v>1</v>
      </c>
      <c r="E52" s="7">
        <v>0</v>
      </c>
      <c r="F52" s="7">
        <v>7</v>
      </c>
      <c r="G52" s="7">
        <v>8</v>
      </c>
      <c r="H52" s="7">
        <v>0</v>
      </c>
      <c r="I52" s="7">
        <v>30</v>
      </c>
      <c r="J52" s="8">
        <v>118</v>
      </c>
    </row>
    <row r="53" spans="1:10" x14ac:dyDescent="0.3">
      <c r="A53" s="9" t="s">
        <v>61</v>
      </c>
      <c r="B53" s="10">
        <v>26</v>
      </c>
      <c r="C53" s="10">
        <v>20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8</v>
      </c>
      <c r="J53" s="11">
        <v>18</v>
      </c>
    </row>
    <row r="54" spans="1:10" x14ac:dyDescent="0.3">
      <c r="A54" s="6" t="s">
        <v>62</v>
      </c>
      <c r="B54" s="7">
        <v>440</v>
      </c>
      <c r="C54" s="7">
        <v>255</v>
      </c>
      <c r="D54" s="7">
        <v>11</v>
      </c>
      <c r="E54" s="7">
        <v>0</v>
      </c>
      <c r="F54" s="7">
        <v>8</v>
      </c>
      <c r="G54" s="7">
        <v>19</v>
      </c>
      <c r="H54" s="7">
        <v>1</v>
      </c>
      <c r="I54" s="7">
        <v>144</v>
      </c>
      <c r="J54" s="8">
        <v>296</v>
      </c>
    </row>
    <row r="55" spans="1:10" x14ac:dyDescent="0.3">
      <c r="A55" s="30" t="s">
        <v>63</v>
      </c>
      <c r="B55" s="31">
        <f>SUM(B12,B13,B14,B15)</f>
        <v>816</v>
      </c>
      <c r="C55" s="31">
        <f t="shared" ref="C55:J55" si="0">SUM(C12,C13,C14,C15)</f>
        <v>342</v>
      </c>
      <c r="D55" s="31">
        <f t="shared" si="0"/>
        <v>26</v>
      </c>
      <c r="E55" s="31">
        <f t="shared" si="0"/>
        <v>7</v>
      </c>
      <c r="F55" s="31">
        <f t="shared" si="0"/>
        <v>25</v>
      </c>
      <c r="G55" s="31">
        <f t="shared" si="0"/>
        <v>58</v>
      </c>
      <c r="H55" s="31">
        <f t="shared" si="0"/>
        <v>0</v>
      </c>
      <c r="I55" s="31">
        <f t="shared" si="0"/>
        <v>366</v>
      </c>
      <c r="J55" s="32">
        <f t="shared" si="0"/>
        <v>450</v>
      </c>
    </row>
    <row r="56" spans="1:10" x14ac:dyDescent="0.3">
      <c r="A56" s="27" t="s">
        <v>64</v>
      </c>
      <c r="B56" s="28">
        <f>SUM(B40,B41,B42,B43)</f>
        <v>280</v>
      </c>
      <c r="C56" s="28">
        <f t="shared" ref="C56:J56" si="1">SUM(C40,C41,C42,C43)</f>
        <v>126</v>
      </c>
      <c r="D56" s="28">
        <f t="shared" si="1"/>
        <v>7</v>
      </c>
      <c r="E56" s="28">
        <f t="shared" si="1"/>
        <v>1</v>
      </c>
      <c r="F56" s="28">
        <f t="shared" si="1"/>
        <v>3</v>
      </c>
      <c r="G56" s="28">
        <f t="shared" si="1"/>
        <v>11</v>
      </c>
      <c r="H56" s="28">
        <f t="shared" si="1"/>
        <v>0</v>
      </c>
      <c r="I56" s="28">
        <f t="shared" si="1"/>
        <v>175</v>
      </c>
      <c r="J56" s="29">
        <f t="shared" si="1"/>
        <v>105</v>
      </c>
    </row>
    <row r="57" spans="1:10" x14ac:dyDescent="0.3">
      <c r="A57" s="24" t="s">
        <v>65</v>
      </c>
      <c r="B57" s="25">
        <f>SUM(B2:B54)</f>
        <v>39279</v>
      </c>
      <c r="C57" s="25">
        <f t="shared" ref="C57:J57" si="2">SUM(C2:C54)</f>
        <v>16535</v>
      </c>
      <c r="D57" s="25">
        <f t="shared" si="2"/>
        <v>1741</v>
      </c>
      <c r="E57" s="25">
        <f t="shared" si="2"/>
        <v>179</v>
      </c>
      <c r="F57" s="25">
        <f t="shared" si="2"/>
        <v>883</v>
      </c>
      <c r="G57" s="25">
        <f t="shared" si="2"/>
        <v>2803</v>
      </c>
      <c r="H57" s="25">
        <f t="shared" si="2"/>
        <v>127</v>
      </c>
      <c r="I57" s="25">
        <f t="shared" si="2"/>
        <v>8754</v>
      </c>
      <c r="J57" s="26">
        <f t="shared" si="2"/>
        <v>30525</v>
      </c>
    </row>
  </sheetData>
  <autoFilter ref="A1:J5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style="1" customWidth="1"/>
    <col min="2" max="10" width="15.6640625" customWidth="1"/>
  </cols>
  <sheetData>
    <row r="1" spans="1:10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>
        <v>2950</v>
      </c>
      <c r="C2" s="4">
        <v>1224</v>
      </c>
      <c r="D2" s="4">
        <v>88</v>
      </c>
      <c r="E2" s="4">
        <v>5</v>
      </c>
      <c r="F2" s="4">
        <v>68</v>
      </c>
      <c r="G2" s="4">
        <v>161</v>
      </c>
      <c r="H2" s="4">
        <v>4</v>
      </c>
      <c r="I2" s="4">
        <v>470</v>
      </c>
      <c r="J2" s="5">
        <v>2480</v>
      </c>
    </row>
    <row r="3" spans="1:10" x14ac:dyDescent="0.3">
      <c r="A3" s="6" t="s">
        <v>11</v>
      </c>
      <c r="B3" s="7">
        <v>1126</v>
      </c>
      <c r="C3" s="7">
        <v>590</v>
      </c>
      <c r="D3" s="7">
        <v>35</v>
      </c>
      <c r="E3" s="7">
        <v>10</v>
      </c>
      <c r="F3" s="7">
        <v>19</v>
      </c>
      <c r="G3" s="7">
        <v>64</v>
      </c>
      <c r="H3" s="7">
        <v>2</v>
      </c>
      <c r="I3" s="7">
        <v>178</v>
      </c>
      <c r="J3" s="8">
        <v>948</v>
      </c>
    </row>
    <row r="4" spans="1:10" x14ac:dyDescent="0.3">
      <c r="A4" s="9" t="s">
        <v>12</v>
      </c>
      <c r="B4" s="10">
        <v>2486</v>
      </c>
      <c r="C4" s="10">
        <v>1096</v>
      </c>
      <c r="D4" s="10">
        <v>123</v>
      </c>
      <c r="E4" s="10">
        <v>15</v>
      </c>
      <c r="F4" s="10">
        <v>91</v>
      </c>
      <c r="G4" s="10">
        <v>229</v>
      </c>
      <c r="H4" s="10">
        <v>1</v>
      </c>
      <c r="I4" s="10">
        <v>332</v>
      </c>
      <c r="J4" s="11">
        <v>2154</v>
      </c>
    </row>
    <row r="5" spans="1:10" x14ac:dyDescent="0.3">
      <c r="A5" s="6" t="s">
        <v>13</v>
      </c>
      <c r="B5" s="7">
        <v>7</v>
      </c>
      <c r="C5" s="7">
        <v>8</v>
      </c>
      <c r="D5" s="7">
        <v>2</v>
      </c>
      <c r="E5" s="7">
        <v>0</v>
      </c>
      <c r="F5" s="7">
        <v>2</v>
      </c>
      <c r="G5" s="7">
        <v>4</v>
      </c>
      <c r="H5" s="7">
        <v>0</v>
      </c>
      <c r="I5" s="7">
        <v>2</v>
      </c>
      <c r="J5" s="8">
        <v>5</v>
      </c>
    </row>
    <row r="6" spans="1:10" x14ac:dyDescent="0.3">
      <c r="A6" s="9" t="s">
        <v>14</v>
      </c>
      <c r="B6" s="10">
        <v>2866</v>
      </c>
      <c r="C6" s="10">
        <v>1152</v>
      </c>
      <c r="D6" s="10">
        <v>283</v>
      </c>
      <c r="E6" s="10">
        <v>10</v>
      </c>
      <c r="F6" s="10">
        <v>60</v>
      </c>
      <c r="G6" s="10">
        <v>353</v>
      </c>
      <c r="H6" s="10">
        <v>13</v>
      </c>
      <c r="I6" s="10">
        <v>812</v>
      </c>
      <c r="J6" s="11">
        <v>2054</v>
      </c>
    </row>
    <row r="7" spans="1:10" x14ac:dyDescent="0.3">
      <c r="A7" s="6" t="s">
        <v>15</v>
      </c>
      <c r="B7" s="7">
        <v>190</v>
      </c>
      <c r="C7" s="7">
        <v>119</v>
      </c>
      <c r="D7" s="7">
        <v>1</v>
      </c>
      <c r="E7" s="7">
        <v>0</v>
      </c>
      <c r="F7" s="7">
        <v>14</v>
      </c>
      <c r="G7" s="7">
        <v>15</v>
      </c>
      <c r="H7" s="7">
        <v>12</v>
      </c>
      <c r="I7" s="7">
        <v>66</v>
      </c>
      <c r="J7" s="8">
        <v>124</v>
      </c>
    </row>
    <row r="8" spans="1:10" x14ac:dyDescent="0.3">
      <c r="A8" s="9" t="s">
        <v>16</v>
      </c>
      <c r="B8" s="10">
        <v>310</v>
      </c>
      <c r="C8" s="10">
        <v>100</v>
      </c>
      <c r="D8" s="10">
        <v>14</v>
      </c>
      <c r="E8" s="10">
        <v>0</v>
      </c>
      <c r="F8" s="10">
        <v>2</v>
      </c>
      <c r="G8" s="10">
        <v>16</v>
      </c>
      <c r="H8" s="10">
        <v>0</v>
      </c>
      <c r="I8" s="10">
        <v>106</v>
      </c>
      <c r="J8" s="11">
        <v>204</v>
      </c>
    </row>
    <row r="9" spans="1:10" x14ac:dyDescent="0.3">
      <c r="A9" s="6" t="s">
        <v>17</v>
      </c>
      <c r="B9" s="7">
        <v>76</v>
      </c>
      <c r="C9" s="7">
        <v>49</v>
      </c>
      <c r="D9" s="7">
        <v>0</v>
      </c>
      <c r="E9" s="7">
        <v>0</v>
      </c>
      <c r="F9" s="7">
        <v>1</v>
      </c>
      <c r="G9" s="7">
        <v>1</v>
      </c>
      <c r="H9" s="7">
        <v>0</v>
      </c>
      <c r="I9" s="7">
        <v>18</v>
      </c>
      <c r="J9" s="8">
        <v>58</v>
      </c>
    </row>
    <row r="10" spans="1:10" x14ac:dyDescent="0.3">
      <c r="A10" s="9" t="s">
        <v>18</v>
      </c>
      <c r="B10" s="10">
        <v>0</v>
      </c>
      <c r="C10" s="10">
        <v>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1">
        <v>0</v>
      </c>
    </row>
    <row r="11" spans="1:10" x14ac:dyDescent="0.3">
      <c r="A11" s="6" t="s">
        <v>19</v>
      </c>
      <c r="B11" s="7">
        <v>0</v>
      </c>
      <c r="C11" s="7">
        <v>0</v>
      </c>
      <c r="D11" s="7">
        <v>1</v>
      </c>
      <c r="E11" s="7">
        <v>0</v>
      </c>
      <c r="F11" s="7">
        <v>0</v>
      </c>
      <c r="G11" s="7">
        <v>1</v>
      </c>
      <c r="H11" s="7">
        <v>0</v>
      </c>
      <c r="I11" s="7">
        <v>0</v>
      </c>
      <c r="J11" s="8">
        <v>0</v>
      </c>
    </row>
    <row r="12" spans="1:10" x14ac:dyDescent="0.3">
      <c r="A12" s="12" t="s">
        <v>20</v>
      </c>
      <c r="B12" s="13">
        <v>0</v>
      </c>
      <c r="C12" s="13">
        <v>2</v>
      </c>
      <c r="D12" s="13">
        <v>1</v>
      </c>
      <c r="E12" s="13">
        <v>0</v>
      </c>
      <c r="F12" s="13">
        <v>0</v>
      </c>
      <c r="G12" s="13">
        <v>1</v>
      </c>
      <c r="H12" s="13">
        <v>0</v>
      </c>
      <c r="I12" s="13">
        <v>0</v>
      </c>
      <c r="J12" s="14">
        <v>0</v>
      </c>
    </row>
    <row r="13" spans="1:10" x14ac:dyDescent="0.3">
      <c r="A13" s="15" t="s">
        <v>21</v>
      </c>
      <c r="B13" s="16">
        <v>148</v>
      </c>
      <c r="C13" s="16">
        <v>66</v>
      </c>
      <c r="D13" s="16">
        <v>1</v>
      </c>
      <c r="E13" s="16">
        <v>0</v>
      </c>
      <c r="F13" s="16">
        <v>1</v>
      </c>
      <c r="G13" s="16">
        <v>2</v>
      </c>
      <c r="H13" s="16">
        <v>0</v>
      </c>
      <c r="I13" s="16">
        <v>72</v>
      </c>
      <c r="J13" s="17">
        <v>76</v>
      </c>
    </row>
    <row r="14" spans="1:10" x14ac:dyDescent="0.3">
      <c r="A14" s="12" t="s">
        <v>22</v>
      </c>
      <c r="B14" s="13">
        <v>336</v>
      </c>
      <c r="C14" s="13">
        <v>191</v>
      </c>
      <c r="D14" s="13">
        <v>12</v>
      </c>
      <c r="E14" s="13">
        <v>0</v>
      </c>
      <c r="F14" s="13">
        <v>13</v>
      </c>
      <c r="G14" s="13">
        <v>25</v>
      </c>
      <c r="H14" s="13">
        <v>0</v>
      </c>
      <c r="I14" s="13">
        <v>160</v>
      </c>
      <c r="J14" s="14">
        <v>176</v>
      </c>
    </row>
    <row r="15" spans="1:10" x14ac:dyDescent="0.3">
      <c r="A15" s="15" t="s">
        <v>23</v>
      </c>
      <c r="B15" s="16">
        <v>50</v>
      </c>
      <c r="C15" s="16">
        <v>51</v>
      </c>
      <c r="D15" s="16">
        <v>7</v>
      </c>
      <c r="E15" s="16">
        <v>0</v>
      </c>
      <c r="F15" s="16">
        <v>0</v>
      </c>
      <c r="G15" s="16">
        <v>7</v>
      </c>
      <c r="H15" s="16">
        <v>0</v>
      </c>
      <c r="I15" s="16">
        <v>26</v>
      </c>
      <c r="J15" s="17">
        <v>24</v>
      </c>
    </row>
    <row r="16" spans="1:10" x14ac:dyDescent="0.3">
      <c r="A16" s="9" t="s">
        <v>24</v>
      </c>
      <c r="B16" s="10">
        <v>100</v>
      </c>
      <c r="C16" s="10">
        <v>51</v>
      </c>
      <c r="D16" s="10">
        <v>1</v>
      </c>
      <c r="E16" s="10">
        <v>0</v>
      </c>
      <c r="F16" s="10">
        <v>3</v>
      </c>
      <c r="G16" s="10">
        <v>4</v>
      </c>
      <c r="H16" s="10">
        <v>0</v>
      </c>
      <c r="I16" s="10">
        <v>30</v>
      </c>
      <c r="J16" s="11">
        <v>70</v>
      </c>
    </row>
    <row r="17" spans="1:10" x14ac:dyDescent="0.3">
      <c r="A17" s="6" t="s">
        <v>25</v>
      </c>
      <c r="B17" s="7">
        <v>1212</v>
      </c>
      <c r="C17" s="7">
        <v>506</v>
      </c>
      <c r="D17" s="7">
        <v>51</v>
      </c>
      <c r="E17" s="7">
        <v>8</v>
      </c>
      <c r="F17" s="7">
        <v>28</v>
      </c>
      <c r="G17" s="7">
        <v>87</v>
      </c>
      <c r="H17" s="7">
        <v>0</v>
      </c>
      <c r="I17" s="7">
        <v>354</v>
      </c>
      <c r="J17" s="8">
        <v>858</v>
      </c>
    </row>
    <row r="18" spans="1:10" x14ac:dyDescent="0.3">
      <c r="A18" s="9" t="s">
        <v>26</v>
      </c>
      <c r="B18" s="10">
        <v>64</v>
      </c>
      <c r="C18" s="10">
        <v>50</v>
      </c>
      <c r="D18" s="10">
        <v>3</v>
      </c>
      <c r="E18" s="10">
        <v>1</v>
      </c>
      <c r="F18" s="10">
        <v>0</v>
      </c>
      <c r="G18" s="10">
        <v>4</v>
      </c>
      <c r="H18" s="10">
        <v>0</v>
      </c>
      <c r="I18" s="10">
        <v>10</v>
      </c>
      <c r="J18" s="11">
        <v>54</v>
      </c>
    </row>
    <row r="19" spans="1:10" x14ac:dyDescent="0.3">
      <c r="A19" s="6" t="s">
        <v>27</v>
      </c>
      <c r="B19" s="7">
        <v>1256</v>
      </c>
      <c r="C19" s="7">
        <v>591</v>
      </c>
      <c r="D19" s="7">
        <v>35</v>
      </c>
      <c r="E19" s="7">
        <v>0</v>
      </c>
      <c r="F19" s="7">
        <v>11</v>
      </c>
      <c r="G19" s="7">
        <v>46</v>
      </c>
      <c r="H19" s="7">
        <v>0</v>
      </c>
      <c r="I19" s="7">
        <v>258</v>
      </c>
      <c r="J19" s="8">
        <v>998</v>
      </c>
    </row>
    <row r="20" spans="1:10" x14ac:dyDescent="0.3">
      <c r="A20" s="9" t="s">
        <v>28</v>
      </c>
      <c r="B20" s="10">
        <v>10</v>
      </c>
      <c r="C20" s="10">
        <v>2</v>
      </c>
      <c r="D20" s="10">
        <v>1</v>
      </c>
      <c r="E20" s="10">
        <v>0</v>
      </c>
      <c r="F20" s="10">
        <v>0</v>
      </c>
      <c r="G20" s="10">
        <v>1</v>
      </c>
      <c r="H20" s="10">
        <v>0</v>
      </c>
      <c r="I20" s="10">
        <v>6</v>
      </c>
      <c r="J20" s="11">
        <v>4</v>
      </c>
    </row>
    <row r="21" spans="1:10" x14ac:dyDescent="0.3">
      <c r="A21" s="6" t="s">
        <v>29</v>
      </c>
      <c r="B21" s="7">
        <v>880</v>
      </c>
      <c r="C21" s="7">
        <v>410</v>
      </c>
      <c r="D21" s="7">
        <v>27</v>
      </c>
      <c r="E21" s="7">
        <v>1</v>
      </c>
      <c r="F21" s="7">
        <v>26</v>
      </c>
      <c r="G21" s="7">
        <v>54</v>
      </c>
      <c r="H21" s="7">
        <v>0</v>
      </c>
      <c r="I21" s="7">
        <v>214</v>
      </c>
      <c r="J21" s="8">
        <v>666</v>
      </c>
    </row>
    <row r="22" spans="1:10" x14ac:dyDescent="0.3">
      <c r="A22" s="9" t="s">
        <v>30</v>
      </c>
      <c r="B22" s="10">
        <v>160</v>
      </c>
      <c r="C22" s="10">
        <v>98</v>
      </c>
      <c r="D22" s="10">
        <v>3</v>
      </c>
      <c r="E22" s="10">
        <v>0</v>
      </c>
      <c r="F22" s="10">
        <v>11</v>
      </c>
      <c r="G22" s="10">
        <v>14</v>
      </c>
      <c r="H22" s="10">
        <v>0</v>
      </c>
      <c r="I22" s="10">
        <v>56</v>
      </c>
      <c r="J22" s="11">
        <v>104</v>
      </c>
    </row>
    <row r="23" spans="1:10" x14ac:dyDescent="0.3">
      <c r="A23" s="6" t="s">
        <v>31</v>
      </c>
      <c r="B23" s="7">
        <v>1178</v>
      </c>
      <c r="C23" s="7">
        <v>405</v>
      </c>
      <c r="D23" s="7">
        <v>145</v>
      </c>
      <c r="E23" s="7">
        <v>5</v>
      </c>
      <c r="F23" s="7">
        <v>37</v>
      </c>
      <c r="G23" s="7">
        <v>187</v>
      </c>
      <c r="H23" s="7">
        <v>3</v>
      </c>
      <c r="I23" s="7">
        <v>286</v>
      </c>
      <c r="J23" s="8">
        <v>892</v>
      </c>
    </row>
    <row r="24" spans="1:10" x14ac:dyDescent="0.3">
      <c r="A24" s="9" t="s">
        <v>32</v>
      </c>
      <c r="B24" s="10">
        <v>3626</v>
      </c>
      <c r="C24" s="10">
        <v>1643</v>
      </c>
      <c r="D24" s="10">
        <v>153</v>
      </c>
      <c r="E24" s="10">
        <v>21</v>
      </c>
      <c r="F24" s="10">
        <v>81</v>
      </c>
      <c r="G24" s="10">
        <v>255</v>
      </c>
      <c r="H24" s="10">
        <v>2</v>
      </c>
      <c r="I24" s="10">
        <v>438</v>
      </c>
      <c r="J24" s="11">
        <v>3188</v>
      </c>
    </row>
    <row r="25" spans="1:10" x14ac:dyDescent="0.3">
      <c r="A25" s="6" t="s">
        <v>33</v>
      </c>
      <c r="B25" s="7">
        <v>252</v>
      </c>
      <c r="C25" s="7">
        <v>126</v>
      </c>
      <c r="D25" s="7">
        <v>4</v>
      </c>
      <c r="E25" s="7">
        <v>0</v>
      </c>
      <c r="F25" s="7">
        <v>5</v>
      </c>
      <c r="G25" s="7">
        <v>9</v>
      </c>
      <c r="H25" s="7">
        <v>0</v>
      </c>
      <c r="I25" s="7">
        <v>86</v>
      </c>
      <c r="J25" s="8">
        <v>166</v>
      </c>
    </row>
    <row r="26" spans="1:10" x14ac:dyDescent="0.3">
      <c r="A26" s="9" t="s">
        <v>34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1">
        <v>0</v>
      </c>
    </row>
    <row r="27" spans="1:10" x14ac:dyDescent="0.3">
      <c r="A27" s="6" t="s">
        <v>35</v>
      </c>
      <c r="B27" s="7">
        <v>260</v>
      </c>
      <c r="C27" s="7">
        <v>127</v>
      </c>
      <c r="D27" s="7">
        <v>2</v>
      </c>
      <c r="E27" s="7">
        <v>1</v>
      </c>
      <c r="F27" s="7">
        <v>3</v>
      </c>
      <c r="G27" s="7">
        <v>6</v>
      </c>
      <c r="H27" s="7">
        <v>0</v>
      </c>
      <c r="I27" s="7">
        <v>90</v>
      </c>
      <c r="J27" s="8">
        <v>170</v>
      </c>
    </row>
    <row r="28" spans="1:10" x14ac:dyDescent="0.3">
      <c r="A28" s="9" t="s">
        <v>36</v>
      </c>
      <c r="B28" s="10">
        <v>214</v>
      </c>
      <c r="C28" s="10">
        <v>93</v>
      </c>
      <c r="D28" s="10">
        <v>11</v>
      </c>
      <c r="E28" s="10">
        <v>0</v>
      </c>
      <c r="F28" s="10">
        <v>6</v>
      </c>
      <c r="G28" s="10">
        <v>17</v>
      </c>
      <c r="H28" s="10">
        <v>0</v>
      </c>
      <c r="I28" s="10">
        <v>82</v>
      </c>
      <c r="J28" s="11">
        <v>132</v>
      </c>
    </row>
    <row r="29" spans="1:10" x14ac:dyDescent="0.3">
      <c r="A29" s="6" t="s">
        <v>37</v>
      </c>
      <c r="B29" s="7">
        <v>1186</v>
      </c>
      <c r="C29" s="7">
        <v>583</v>
      </c>
      <c r="D29" s="7">
        <v>13</v>
      </c>
      <c r="E29" s="7">
        <v>1</v>
      </c>
      <c r="F29" s="7">
        <v>21</v>
      </c>
      <c r="G29" s="7">
        <v>35</v>
      </c>
      <c r="H29" s="7">
        <v>0</v>
      </c>
      <c r="I29" s="7">
        <v>352</v>
      </c>
      <c r="J29" s="8">
        <v>834</v>
      </c>
    </row>
    <row r="30" spans="1:10" x14ac:dyDescent="0.3">
      <c r="A30" s="9" t="s">
        <v>38</v>
      </c>
      <c r="B30" s="10">
        <v>6</v>
      </c>
      <c r="C30" s="10">
        <v>4</v>
      </c>
      <c r="D30" s="10">
        <v>0</v>
      </c>
      <c r="E30" s="10">
        <v>0</v>
      </c>
      <c r="F30" s="10">
        <v>3</v>
      </c>
      <c r="G30" s="10">
        <v>3</v>
      </c>
      <c r="H30" s="10">
        <v>1</v>
      </c>
      <c r="I30" s="10">
        <v>2</v>
      </c>
      <c r="J30" s="11">
        <v>4</v>
      </c>
    </row>
    <row r="31" spans="1:10" x14ac:dyDescent="0.3">
      <c r="A31" s="6" t="s">
        <v>39</v>
      </c>
      <c r="B31" s="7">
        <v>310</v>
      </c>
      <c r="C31" s="7">
        <v>88</v>
      </c>
      <c r="D31" s="7">
        <v>9</v>
      </c>
      <c r="E31" s="7">
        <v>0</v>
      </c>
      <c r="F31" s="7">
        <v>4</v>
      </c>
      <c r="G31" s="7">
        <v>13</v>
      </c>
      <c r="H31" s="7">
        <v>3</v>
      </c>
      <c r="I31" s="7">
        <v>14</v>
      </c>
      <c r="J31" s="8">
        <v>296</v>
      </c>
    </row>
    <row r="32" spans="1:10" x14ac:dyDescent="0.3">
      <c r="A32" s="9" t="s">
        <v>40</v>
      </c>
      <c r="B32" s="10">
        <v>1082</v>
      </c>
      <c r="C32" s="10">
        <v>360</v>
      </c>
      <c r="D32" s="10">
        <v>63</v>
      </c>
      <c r="E32" s="10">
        <v>1</v>
      </c>
      <c r="F32" s="10">
        <v>59</v>
      </c>
      <c r="G32" s="10">
        <v>123</v>
      </c>
      <c r="H32" s="10">
        <v>10</v>
      </c>
      <c r="I32" s="10">
        <v>420</v>
      </c>
      <c r="J32" s="11">
        <v>662</v>
      </c>
    </row>
    <row r="33" spans="1:10" x14ac:dyDescent="0.3">
      <c r="A33" s="6" t="s">
        <v>41</v>
      </c>
      <c r="B33" s="7">
        <v>898</v>
      </c>
      <c r="C33" s="7">
        <v>381</v>
      </c>
      <c r="D33" s="7">
        <v>9</v>
      </c>
      <c r="E33" s="7">
        <v>4</v>
      </c>
      <c r="F33" s="7">
        <v>31</v>
      </c>
      <c r="G33" s="7">
        <v>44</v>
      </c>
      <c r="H33" s="7">
        <v>8</v>
      </c>
      <c r="I33" s="7">
        <v>344</v>
      </c>
      <c r="J33" s="8">
        <v>554</v>
      </c>
    </row>
    <row r="34" spans="1:10" x14ac:dyDescent="0.3">
      <c r="A34" s="9" t="s">
        <v>42</v>
      </c>
      <c r="B34" s="10">
        <v>318</v>
      </c>
      <c r="C34" s="10">
        <v>135</v>
      </c>
      <c r="D34" s="10">
        <v>11</v>
      </c>
      <c r="E34" s="10">
        <v>2</v>
      </c>
      <c r="F34" s="10">
        <v>9</v>
      </c>
      <c r="G34" s="10">
        <v>22</v>
      </c>
      <c r="H34" s="10">
        <v>0</v>
      </c>
      <c r="I34" s="10">
        <v>130</v>
      </c>
      <c r="J34" s="11">
        <v>188</v>
      </c>
    </row>
    <row r="35" spans="1:10" x14ac:dyDescent="0.3">
      <c r="A35" s="6" t="s">
        <v>43</v>
      </c>
      <c r="B35" s="7">
        <v>2352</v>
      </c>
      <c r="C35" s="7">
        <v>963</v>
      </c>
      <c r="D35" s="7">
        <v>171</v>
      </c>
      <c r="E35" s="7">
        <v>5</v>
      </c>
      <c r="F35" s="7">
        <v>43</v>
      </c>
      <c r="G35" s="7">
        <v>219</v>
      </c>
      <c r="H35" s="7">
        <v>4</v>
      </c>
      <c r="I35" s="7">
        <v>626</v>
      </c>
      <c r="J35" s="8">
        <v>1726</v>
      </c>
    </row>
    <row r="36" spans="1:10" x14ac:dyDescent="0.3">
      <c r="A36" s="9" t="s">
        <v>44</v>
      </c>
      <c r="B36" s="10">
        <v>320</v>
      </c>
      <c r="C36" s="10">
        <v>148</v>
      </c>
      <c r="D36" s="10">
        <v>16</v>
      </c>
      <c r="E36" s="10">
        <v>0</v>
      </c>
      <c r="F36" s="10">
        <v>13</v>
      </c>
      <c r="G36" s="10">
        <v>29</v>
      </c>
      <c r="H36" s="10">
        <v>0</v>
      </c>
      <c r="I36" s="10">
        <v>136</v>
      </c>
      <c r="J36" s="11">
        <v>184</v>
      </c>
    </row>
    <row r="37" spans="1:10" x14ac:dyDescent="0.3">
      <c r="A37" s="6" t="s">
        <v>45</v>
      </c>
      <c r="B37" s="7">
        <v>1100</v>
      </c>
      <c r="C37" s="7">
        <v>404</v>
      </c>
      <c r="D37" s="7">
        <v>87</v>
      </c>
      <c r="E37" s="7">
        <v>1</v>
      </c>
      <c r="F37" s="7">
        <v>42</v>
      </c>
      <c r="G37" s="7">
        <v>130</v>
      </c>
      <c r="H37" s="7">
        <v>17</v>
      </c>
      <c r="I37" s="7">
        <v>296</v>
      </c>
      <c r="J37" s="8">
        <v>804</v>
      </c>
    </row>
    <row r="38" spans="1:10" x14ac:dyDescent="0.3">
      <c r="A38" s="9" t="s">
        <v>46</v>
      </c>
      <c r="B38" s="10">
        <v>100</v>
      </c>
      <c r="C38" s="10">
        <v>38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14</v>
      </c>
      <c r="J38" s="11">
        <v>86</v>
      </c>
    </row>
    <row r="39" spans="1:10" x14ac:dyDescent="0.3">
      <c r="A39" s="6" t="s">
        <v>47</v>
      </c>
      <c r="B39" s="7">
        <v>806</v>
      </c>
      <c r="C39" s="7">
        <v>42</v>
      </c>
      <c r="D39" s="7">
        <v>333</v>
      </c>
      <c r="E39" s="7">
        <v>3</v>
      </c>
      <c r="F39" s="7">
        <v>146</v>
      </c>
      <c r="G39" s="7">
        <v>482</v>
      </c>
      <c r="H39" s="7">
        <v>0</v>
      </c>
      <c r="I39" s="7">
        <v>474</v>
      </c>
      <c r="J39" s="8">
        <v>332</v>
      </c>
    </row>
    <row r="40" spans="1:10" x14ac:dyDescent="0.3">
      <c r="A40" s="18" t="s">
        <v>48</v>
      </c>
      <c r="B40" s="19">
        <v>58</v>
      </c>
      <c r="C40" s="19">
        <v>19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30</v>
      </c>
      <c r="J40" s="20">
        <v>28</v>
      </c>
    </row>
    <row r="41" spans="1:10" x14ac:dyDescent="0.3">
      <c r="A41" s="21" t="s">
        <v>49</v>
      </c>
      <c r="B41" s="22">
        <v>304</v>
      </c>
      <c r="C41" s="22">
        <v>110</v>
      </c>
      <c r="D41" s="22">
        <v>13</v>
      </c>
      <c r="E41" s="22">
        <v>0</v>
      </c>
      <c r="F41" s="22">
        <v>2</v>
      </c>
      <c r="G41" s="22">
        <v>15</v>
      </c>
      <c r="H41" s="22">
        <v>0</v>
      </c>
      <c r="I41" s="22">
        <v>142</v>
      </c>
      <c r="J41" s="23">
        <v>162</v>
      </c>
    </row>
    <row r="42" spans="1:10" x14ac:dyDescent="0.3">
      <c r="A42" s="18" t="s">
        <v>50</v>
      </c>
      <c r="B42" s="19">
        <v>14</v>
      </c>
      <c r="C42" s="19">
        <v>5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8</v>
      </c>
      <c r="J42" s="20">
        <v>6</v>
      </c>
    </row>
    <row r="43" spans="1:10" x14ac:dyDescent="0.3">
      <c r="A43" s="21" t="s">
        <v>51</v>
      </c>
      <c r="B43" s="22">
        <v>52</v>
      </c>
      <c r="C43" s="22">
        <v>10</v>
      </c>
      <c r="D43" s="22">
        <v>9</v>
      </c>
      <c r="E43" s="22">
        <v>0</v>
      </c>
      <c r="F43" s="22">
        <v>0</v>
      </c>
      <c r="G43" s="22">
        <v>9</v>
      </c>
      <c r="H43" s="22">
        <v>0</v>
      </c>
      <c r="I43" s="22">
        <v>12</v>
      </c>
      <c r="J43" s="23">
        <v>40</v>
      </c>
    </row>
    <row r="44" spans="1:10" x14ac:dyDescent="0.3">
      <c r="A44" s="6" t="s">
        <v>52</v>
      </c>
      <c r="B44" s="7">
        <v>98</v>
      </c>
      <c r="C44" s="7">
        <v>63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40</v>
      </c>
      <c r="J44" s="8">
        <v>58</v>
      </c>
    </row>
    <row r="45" spans="1:10" x14ac:dyDescent="0.3">
      <c r="A45" s="9" t="s">
        <v>53</v>
      </c>
      <c r="B45" s="10">
        <v>766</v>
      </c>
      <c r="C45" s="10">
        <v>427</v>
      </c>
      <c r="D45" s="10">
        <v>17</v>
      </c>
      <c r="E45" s="10">
        <v>1</v>
      </c>
      <c r="F45" s="10">
        <v>15</v>
      </c>
      <c r="G45" s="10">
        <v>33</v>
      </c>
      <c r="H45" s="10">
        <v>0</v>
      </c>
      <c r="I45" s="10">
        <v>186</v>
      </c>
      <c r="J45" s="11">
        <v>580</v>
      </c>
    </row>
    <row r="46" spans="1:10" x14ac:dyDescent="0.3">
      <c r="A46" s="6" t="s">
        <v>54</v>
      </c>
      <c r="B46" s="7">
        <v>1490</v>
      </c>
      <c r="C46" s="7">
        <v>681</v>
      </c>
      <c r="D46" s="7">
        <v>1</v>
      </c>
      <c r="E46" s="7">
        <v>1</v>
      </c>
      <c r="F46" s="7">
        <v>29</v>
      </c>
      <c r="G46" s="7">
        <v>31</v>
      </c>
      <c r="H46" s="7">
        <v>0</v>
      </c>
      <c r="I46" s="7">
        <v>136</v>
      </c>
      <c r="J46" s="8">
        <v>1354</v>
      </c>
    </row>
    <row r="47" spans="1:10" x14ac:dyDescent="0.3">
      <c r="A47" s="9" t="s">
        <v>55</v>
      </c>
      <c r="B47" s="10">
        <v>428</v>
      </c>
      <c r="C47" s="10">
        <v>185</v>
      </c>
      <c r="D47" s="10">
        <v>12</v>
      </c>
      <c r="E47" s="10">
        <v>2</v>
      </c>
      <c r="F47" s="10">
        <v>20</v>
      </c>
      <c r="G47" s="10">
        <v>34</v>
      </c>
      <c r="H47" s="10">
        <v>0</v>
      </c>
      <c r="I47" s="10">
        <v>70</v>
      </c>
      <c r="J47" s="11">
        <v>358</v>
      </c>
    </row>
    <row r="48" spans="1:10" x14ac:dyDescent="0.3">
      <c r="A48" s="6" t="s">
        <v>56</v>
      </c>
      <c r="B48" s="7">
        <v>746</v>
      </c>
      <c r="C48" s="7">
        <v>361</v>
      </c>
      <c r="D48" s="7">
        <v>7</v>
      </c>
      <c r="E48" s="7">
        <v>3</v>
      </c>
      <c r="F48" s="7">
        <v>36</v>
      </c>
      <c r="G48" s="7">
        <v>46</v>
      </c>
      <c r="H48" s="7">
        <v>0</v>
      </c>
      <c r="I48" s="7">
        <v>118</v>
      </c>
      <c r="J48" s="8">
        <v>628</v>
      </c>
    </row>
    <row r="49" spans="1:10" x14ac:dyDescent="0.3">
      <c r="A49" s="9" t="s">
        <v>57</v>
      </c>
      <c r="B49" s="10">
        <v>1482</v>
      </c>
      <c r="C49" s="10">
        <v>683</v>
      </c>
      <c r="D49" s="10">
        <v>76</v>
      </c>
      <c r="E49" s="10">
        <v>7</v>
      </c>
      <c r="F49" s="10">
        <v>50</v>
      </c>
      <c r="G49" s="10">
        <v>133</v>
      </c>
      <c r="H49" s="10">
        <v>10</v>
      </c>
      <c r="I49" s="10">
        <v>308</v>
      </c>
      <c r="J49" s="11">
        <v>1174</v>
      </c>
    </row>
    <row r="50" spans="1:10" x14ac:dyDescent="0.3">
      <c r="A50" s="6" t="s">
        <v>58</v>
      </c>
      <c r="B50" s="7">
        <v>230</v>
      </c>
      <c r="C50" s="7">
        <v>81</v>
      </c>
      <c r="D50" s="7">
        <v>14</v>
      </c>
      <c r="E50" s="7">
        <v>0</v>
      </c>
      <c r="F50" s="7">
        <v>2</v>
      </c>
      <c r="G50" s="7">
        <v>16</v>
      </c>
      <c r="H50" s="7">
        <v>0</v>
      </c>
      <c r="I50" s="7">
        <v>72</v>
      </c>
      <c r="J50" s="8">
        <v>158</v>
      </c>
    </row>
    <row r="51" spans="1:10" x14ac:dyDescent="0.3">
      <c r="A51" s="9" t="s">
        <v>59</v>
      </c>
      <c r="B51" s="10">
        <v>966</v>
      </c>
      <c r="C51" s="10">
        <v>427</v>
      </c>
      <c r="D51" s="10">
        <v>35</v>
      </c>
      <c r="E51" s="10">
        <v>6</v>
      </c>
      <c r="F51" s="10">
        <v>32</v>
      </c>
      <c r="G51" s="10">
        <v>73</v>
      </c>
      <c r="H51" s="10">
        <v>0</v>
      </c>
      <c r="I51" s="10">
        <v>146</v>
      </c>
      <c r="J51" s="11">
        <v>820</v>
      </c>
    </row>
    <row r="52" spans="1:10" x14ac:dyDescent="0.3">
      <c r="A52" s="6" t="s">
        <v>60</v>
      </c>
      <c r="B52" s="7">
        <v>328</v>
      </c>
      <c r="C52" s="7">
        <v>128</v>
      </c>
      <c r="D52" s="7">
        <v>6</v>
      </c>
      <c r="E52" s="7">
        <v>0</v>
      </c>
      <c r="F52" s="7">
        <v>3</v>
      </c>
      <c r="G52" s="7">
        <v>9</v>
      </c>
      <c r="H52" s="7">
        <v>1</v>
      </c>
      <c r="I52" s="7">
        <v>152</v>
      </c>
      <c r="J52" s="8">
        <v>176</v>
      </c>
    </row>
    <row r="53" spans="1:10" x14ac:dyDescent="0.3">
      <c r="A53" s="9" t="s">
        <v>61</v>
      </c>
      <c r="B53" s="10">
        <v>56</v>
      </c>
      <c r="C53" s="10">
        <v>29</v>
      </c>
      <c r="D53" s="10">
        <v>2</v>
      </c>
      <c r="E53" s="10">
        <v>0</v>
      </c>
      <c r="F53" s="10">
        <v>1</v>
      </c>
      <c r="G53" s="10">
        <v>3</v>
      </c>
      <c r="H53" s="10">
        <v>0</v>
      </c>
      <c r="I53" s="10">
        <v>20</v>
      </c>
      <c r="J53" s="11">
        <v>36</v>
      </c>
    </row>
    <row r="54" spans="1:10" x14ac:dyDescent="0.3">
      <c r="A54" s="6" t="s">
        <v>62</v>
      </c>
      <c r="B54" s="7">
        <v>842</v>
      </c>
      <c r="C54" s="7">
        <v>396</v>
      </c>
      <c r="D54" s="7">
        <v>4</v>
      </c>
      <c r="E54" s="7">
        <v>0</v>
      </c>
      <c r="F54" s="7">
        <v>10</v>
      </c>
      <c r="G54" s="7">
        <v>14</v>
      </c>
      <c r="H54" s="7">
        <v>0</v>
      </c>
      <c r="I54" s="7">
        <v>204</v>
      </c>
      <c r="J54" s="8">
        <v>638</v>
      </c>
    </row>
    <row r="55" spans="1:10" x14ac:dyDescent="0.3">
      <c r="A55" s="30" t="s">
        <v>63</v>
      </c>
      <c r="B55" s="31">
        <f>SUM(B12,B13,B14,B15)</f>
        <v>534</v>
      </c>
      <c r="C55" s="31">
        <f t="shared" ref="C55:J55" si="0">SUM(C12,C13,C14,C15)</f>
        <v>310</v>
      </c>
      <c r="D55" s="31">
        <f t="shared" si="0"/>
        <v>21</v>
      </c>
      <c r="E55" s="31">
        <f t="shared" si="0"/>
        <v>0</v>
      </c>
      <c r="F55" s="31">
        <f t="shared" si="0"/>
        <v>14</v>
      </c>
      <c r="G55" s="31">
        <f t="shared" si="0"/>
        <v>35</v>
      </c>
      <c r="H55" s="31">
        <f t="shared" si="0"/>
        <v>0</v>
      </c>
      <c r="I55" s="31">
        <f t="shared" si="0"/>
        <v>258</v>
      </c>
      <c r="J55" s="32">
        <f t="shared" si="0"/>
        <v>276</v>
      </c>
    </row>
    <row r="56" spans="1:10" x14ac:dyDescent="0.3">
      <c r="A56" s="27" t="s">
        <v>64</v>
      </c>
      <c r="B56" s="28">
        <f>SUM(B40,B41,B42,B43)</f>
        <v>428</v>
      </c>
      <c r="C56" s="28">
        <f t="shared" ref="C56:J56" si="1">SUM(C40,C41,C42,C43)</f>
        <v>144</v>
      </c>
      <c r="D56" s="28">
        <f t="shared" si="1"/>
        <v>22</v>
      </c>
      <c r="E56" s="28">
        <f t="shared" si="1"/>
        <v>0</v>
      </c>
      <c r="F56" s="28">
        <f t="shared" si="1"/>
        <v>2</v>
      </c>
      <c r="G56" s="28">
        <f t="shared" si="1"/>
        <v>24</v>
      </c>
      <c r="H56" s="28">
        <f t="shared" si="1"/>
        <v>0</v>
      </c>
      <c r="I56" s="28">
        <f t="shared" si="1"/>
        <v>192</v>
      </c>
      <c r="J56" s="29">
        <f t="shared" si="1"/>
        <v>236</v>
      </c>
    </row>
    <row r="57" spans="1:10" x14ac:dyDescent="0.3">
      <c r="A57" s="24" t="s">
        <v>65</v>
      </c>
      <c r="B57" s="25">
        <f>SUM(B2:B54)</f>
        <v>36095</v>
      </c>
      <c r="C57" s="25">
        <f t="shared" ref="C57:J57" si="2">SUM(C2:C54)</f>
        <v>15504</v>
      </c>
      <c r="D57" s="25">
        <f t="shared" si="2"/>
        <v>1912</v>
      </c>
      <c r="E57" s="25">
        <f t="shared" si="2"/>
        <v>114</v>
      </c>
      <c r="F57" s="25">
        <f t="shared" si="2"/>
        <v>1053</v>
      </c>
      <c r="G57" s="25">
        <f t="shared" si="2"/>
        <v>3079</v>
      </c>
      <c r="H57" s="25">
        <f t="shared" si="2"/>
        <v>91</v>
      </c>
      <c r="I57" s="25">
        <f t="shared" si="2"/>
        <v>8604</v>
      </c>
      <c r="J57" s="26">
        <f t="shared" si="2"/>
        <v>27491</v>
      </c>
    </row>
  </sheetData>
  <autoFilter ref="A1:J5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style="1" customWidth="1"/>
    <col min="2" max="10" width="15.6640625" customWidth="1"/>
  </cols>
  <sheetData>
    <row r="1" spans="1:10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>
        <v>2904</v>
      </c>
      <c r="C2" s="4">
        <v>1336</v>
      </c>
      <c r="D2" s="4">
        <v>72</v>
      </c>
      <c r="E2" s="4">
        <v>6</v>
      </c>
      <c r="F2" s="4">
        <v>50</v>
      </c>
      <c r="G2" s="4">
        <v>128</v>
      </c>
      <c r="H2" s="4">
        <v>3</v>
      </c>
      <c r="I2" s="4">
        <v>372</v>
      </c>
      <c r="J2" s="5">
        <v>2532</v>
      </c>
    </row>
    <row r="3" spans="1:10" x14ac:dyDescent="0.3">
      <c r="A3" s="6" t="s">
        <v>11</v>
      </c>
      <c r="B3" s="7">
        <v>1034</v>
      </c>
      <c r="C3" s="7">
        <v>439</v>
      </c>
      <c r="D3" s="7">
        <v>63</v>
      </c>
      <c r="E3" s="7">
        <v>1</v>
      </c>
      <c r="F3" s="7">
        <v>21</v>
      </c>
      <c r="G3" s="7">
        <v>85</v>
      </c>
      <c r="H3" s="7">
        <v>0</v>
      </c>
      <c r="I3" s="7">
        <v>152</v>
      </c>
      <c r="J3" s="8">
        <v>882</v>
      </c>
    </row>
    <row r="4" spans="1:10" x14ac:dyDescent="0.3">
      <c r="A4" s="9" t="s">
        <v>12</v>
      </c>
      <c r="B4" s="10">
        <v>2700</v>
      </c>
      <c r="C4" s="10">
        <v>1114</v>
      </c>
      <c r="D4" s="10">
        <v>130</v>
      </c>
      <c r="E4" s="10">
        <v>13</v>
      </c>
      <c r="F4" s="10">
        <v>100</v>
      </c>
      <c r="G4" s="10">
        <v>243</v>
      </c>
      <c r="H4" s="10">
        <v>1</v>
      </c>
      <c r="I4" s="10">
        <v>406</v>
      </c>
      <c r="J4" s="11">
        <v>2294</v>
      </c>
    </row>
    <row r="5" spans="1:10" x14ac:dyDescent="0.3">
      <c r="A5" s="6" t="s">
        <v>13</v>
      </c>
      <c r="B5" s="7">
        <v>14</v>
      </c>
      <c r="C5" s="7">
        <v>3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12</v>
      </c>
      <c r="J5" s="8">
        <v>2</v>
      </c>
    </row>
    <row r="6" spans="1:10" x14ac:dyDescent="0.3">
      <c r="A6" s="9" t="s">
        <v>14</v>
      </c>
      <c r="B6" s="10">
        <v>3044</v>
      </c>
      <c r="C6" s="10">
        <v>1155</v>
      </c>
      <c r="D6" s="10">
        <v>301</v>
      </c>
      <c r="E6" s="10">
        <v>2</v>
      </c>
      <c r="F6" s="10">
        <v>60</v>
      </c>
      <c r="G6" s="10">
        <v>363</v>
      </c>
      <c r="H6" s="10">
        <v>11</v>
      </c>
      <c r="I6" s="10">
        <v>860</v>
      </c>
      <c r="J6" s="11">
        <v>2184</v>
      </c>
    </row>
    <row r="7" spans="1:10" x14ac:dyDescent="0.3">
      <c r="A7" s="6" t="s">
        <v>15</v>
      </c>
      <c r="B7" s="7">
        <v>340</v>
      </c>
      <c r="C7" s="7">
        <v>169</v>
      </c>
      <c r="D7" s="7">
        <v>0</v>
      </c>
      <c r="E7" s="7">
        <v>0</v>
      </c>
      <c r="F7" s="7">
        <v>12</v>
      </c>
      <c r="G7" s="7">
        <v>12</v>
      </c>
      <c r="H7" s="7">
        <v>5</v>
      </c>
      <c r="I7" s="7">
        <v>74</v>
      </c>
      <c r="J7" s="8">
        <v>266</v>
      </c>
    </row>
    <row r="8" spans="1:10" x14ac:dyDescent="0.3">
      <c r="A8" s="9" t="s">
        <v>16</v>
      </c>
      <c r="B8" s="10">
        <v>208</v>
      </c>
      <c r="C8" s="10">
        <v>121</v>
      </c>
      <c r="D8" s="10">
        <v>17</v>
      </c>
      <c r="E8" s="10">
        <v>1</v>
      </c>
      <c r="F8" s="10">
        <v>3</v>
      </c>
      <c r="G8" s="10">
        <v>21</v>
      </c>
      <c r="H8" s="10">
        <v>1</v>
      </c>
      <c r="I8" s="10">
        <v>68</v>
      </c>
      <c r="J8" s="11">
        <v>140</v>
      </c>
    </row>
    <row r="9" spans="1:10" x14ac:dyDescent="0.3">
      <c r="A9" s="6" t="s">
        <v>17</v>
      </c>
      <c r="B9" s="7">
        <v>78</v>
      </c>
      <c r="C9" s="7">
        <v>38</v>
      </c>
      <c r="D9" s="7">
        <v>0</v>
      </c>
      <c r="E9" s="7">
        <v>0</v>
      </c>
      <c r="F9" s="7">
        <v>1</v>
      </c>
      <c r="G9" s="7">
        <v>1</v>
      </c>
      <c r="H9" s="7">
        <v>0</v>
      </c>
      <c r="I9" s="7">
        <v>22</v>
      </c>
      <c r="J9" s="8">
        <v>56</v>
      </c>
    </row>
    <row r="10" spans="1:10" x14ac:dyDescent="0.3">
      <c r="A10" s="9" t="s">
        <v>18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1">
        <v>0</v>
      </c>
    </row>
    <row r="11" spans="1:10" x14ac:dyDescent="0.3">
      <c r="A11" s="6" t="s">
        <v>19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8">
        <v>0</v>
      </c>
    </row>
    <row r="12" spans="1:10" x14ac:dyDescent="0.3">
      <c r="A12" s="12" t="s">
        <v>20</v>
      </c>
      <c r="B12" s="13">
        <v>20</v>
      </c>
      <c r="C12" s="13">
        <v>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12</v>
      </c>
      <c r="J12" s="14">
        <v>8</v>
      </c>
    </row>
    <row r="13" spans="1:10" x14ac:dyDescent="0.3">
      <c r="A13" s="15" t="s">
        <v>21</v>
      </c>
      <c r="B13" s="16">
        <v>154</v>
      </c>
      <c r="C13" s="16">
        <v>71</v>
      </c>
      <c r="D13" s="16">
        <v>2</v>
      </c>
      <c r="E13" s="16">
        <v>0</v>
      </c>
      <c r="F13" s="16">
        <v>2</v>
      </c>
      <c r="G13" s="16">
        <v>4</v>
      </c>
      <c r="H13" s="16">
        <v>0</v>
      </c>
      <c r="I13" s="16">
        <v>68</v>
      </c>
      <c r="J13" s="17">
        <v>86</v>
      </c>
    </row>
    <row r="14" spans="1:10" x14ac:dyDescent="0.3">
      <c r="A14" s="12" t="s">
        <v>22</v>
      </c>
      <c r="B14" s="13">
        <v>450</v>
      </c>
      <c r="C14" s="13">
        <v>211</v>
      </c>
      <c r="D14" s="13">
        <v>15</v>
      </c>
      <c r="E14" s="13">
        <v>2</v>
      </c>
      <c r="F14" s="13">
        <v>6</v>
      </c>
      <c r="G14" s="13">
        <v>23</v>
      </c>
      <c r="H14" s="13">
        <v>1</v>
      </c>
      <c r="I14" s="13">
        <v>204</v>
      </c>
      <c r="J14" s="14">
        <v>246</v>
      </c>
    </row>
    <row r="15" spans="1:10" x14ac:dyDescent="0.3">
      <c r="A15" s="15" t="s">
        <v>23</v>
      </c>
      <c r="B15" s="16">
        <v>132</v>
      </c>
      <c r="C15" s="16">
        <v>59</v>
      </c>
      <c r="D15" s="16">
        <v>3</v>
      </c>
      <c r="E15" s="16">
        <v>1</v>
      </c>
      <c r="F15" s="16">
        <v>1</v>
      </c>
      <c r="G15" s="16">
        <v>5</v>
      </c>
      <c r="H15" s="16">
        <v>0</v>
      </c>
      <c r="I15" s="16">
        <v>74</v>
      </c>
      <c r="J15" s="17">
        <v>58</v>
      </c>
    </row>
    <row r="16" spans="1:10" x14ac:dyDescent="0.3">
      <c r="A16" s="9" t="s">
        <v>24</v>
      </c>
      <c r="B16" s="10">
        <v>146</v>
      </c>
      <c r="C16" s="10">
        <v>60</v>
      </c>
      <c r="D16" s="10">
        <v>1</v>
      </c>
      <c r="E16" s="10">
        <v>1</v>
      </c>
      <c r="F16" s="10">
        <v>0</v>
      </c>
      <c r="G16" s="10">
        <v>2</v>
      </c>
      <c r="H16" s="10">
        <v>0</v>
      </c>
      <c r="I16" s="10">
        <v>72</v>
      </c>
      <c r="J16" s="11">
        <v>74</v>
      </c>
    </row>
    <row r="17" spans="1:10" x14ac:dyDescent="0.3">
      <c r="A17" s="6" t="s">
        <v>25</v>
      </c>
      <c r="B17" s="7">
        <v>1170</v>
      </c>
      <c r="C17" s="7">
        <v>549</v>
      </c>
      <c r="D17" s="7">
        <v>56</v>
      </c>
      <c r="E17" s="7">
        <v>7</v>
      </c>
      <c r="F17" s="7">
        <v>22</v>
      </c>
      <c r="G17" s="7">
        <v>85</v>
      </c>
      <c r="H17" s="7">
        <v>0</v>
      </c>
      <c r="I17" s="7">
        <v>314</v>
      </c>
      <c r="J17" s="8">
        <v>856</v>
      </c>
    </row>
    <row r="18" spans="1:10" x14ac:dyDescent="0.3">
      <c r="A18" s="9" t="s">
        <v>26</v>
      </c>
      <c r="B18" s="10">
        <v>64</v>
      </c>
      <c r="C18" s="10">
        <v>50</v>
      </c>
      <c r="D18" s="10">
        <v>1</v>
      </c>
      <c r="E18" s="10">
        <v>0</v>
      </c>
      <c r="F18" s="10">
        <v>1</v>
      </c>
      <c r="G18" s="10">
        <v>2</v>
      </c>
      <c r="H18" s="10">
        <v>0</v>
      </c>
      <c r="I18" s="10">
        <v>12</v>
      </c>
      <c r="J18" s="11">
        <v>52</v>
      </c>
    </row>
    <row r="19" spans="1:10" x14ac:dyDescent="0.3">
      <c r="A19" s="6" t="s">
        <v>27</v>
      </c>
      <c r="B19" s="7">
        <v>960</v>
      </c>
      <c r="C19" s="7">
        <v>493</v>
      </c>
      <c r="D19" s="7">
        <v>25</v>
      </c>
      <c r="E19" s="7">
        <v>3</v>
      </c>
      <c r="F19" s="7">
        <v>14</v>
      </c>
      <c r="G19" s="7">
        <v>42</v>
      </c>
      <c r="H19" s="7">
        <v>0</v>
      </c>
      <c r="I19" s="7">
        <v>268</v>
      </c>
      <c r="J19" s="8">
        <v>692</v>
      </c>
    </row>
    <row r="20" spans="1:10" x14ac:dyDescent="0.3">
      <c r="A20" s="9" t="s">
        <v>28</v>
      </c>
      <c r="B20" s="10">
        <v>0</v>
      </c>
      <c r="C20" s="10">
        <v>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1">
        <v>0</v>
      </c>
    </row>
    <row r="21" spans="1:10" x14ac:dyDescent="0.3">
      <c r="A21" s="6" t="s">
        <v>29</v>
      </c>
      <c r="B21" s="7">
        <v>1022</v>
      </c>
      <c r="C21" s="7">
        <v>463</v>
      </c>
      <c r="D21" s="7">
        <v>34</v>
      </c>
      <c r="E21" s="7">
        <v>1</v>
      </c>
      <c r="F21" s="7">
        <v>19</v>
      </c>
      <c r="G21" s="7">
        <v>54</v>
      </c>
      <c r="H21" s="7">
        <v>1</v>
      </c>
      <c r="I21" s="7">
        <v>242</v>
      </c>
      <c r="J21" s="8">
        <v>780</v>
      </c>
    </row>
    <row r="22" spans="1:10" x14ac:dyDescent="0.3">
      <c r="A22" s="9" t="s">
        <v>30</v>
      </c>
      <c r="B22" s="10">
        <v>156</v>
      </c>
      <c r="C22" s="10">
        <v>52</v>
      </c>
      <c r="D22" s="10">
        <v>0</v>
      </c>
      <c r="E22" s="10">
        <v>0</v>
      </c>
      <c r="F22" s="10">
        <v>4</v>
      </c>
      <c r="G22" s="10">
        <v>4</v>
      </c>
      <c r="H22" s="10">
        <v>0</v>
      </c>
      <c r="I22" s="10">
        <v>26</v>
      </c>
      <c r="J22" s="11">
        <v>130</v>
      </c>
    </row>
    <row r="23" spans="1:10" x14ac:dyDescent="0.3">
      <c r="A23" s="6" t="s">
        <v>31</v>
      </c>
      <c r="B23" s="7">
        <v>1764</v>
      </c>
      <c r="C23" s="7">
        <v>572</v>
      </c>
      <c r="D23" s="7">
        <v>288</v>
      </c>
      <c r="E23" s="7">
        <v>36</v>
      </c>
      <c r="F23" s="7">
        <v>83</v>
      </c>
      <c r="G23" s="7">
        <v>407</v>
      </c>
      <c r="H23" s="7">
        <v>3</v>
      </c>
      <c r="I23" s="7">
        <v>448</v>
      </c>
      <c r="J23" s="8">
        <v>1316</v>
      </c>
    </row>
    <row r="24" spans="1:10" x14ac:dyDescent="0.3">
      <c r="A24" s="9" t="s">
        <v>32</v>
      </c>
      <c r="B24" s="10">
        <v>3964</v>
      </c>
      <c r="C24" s="10">
        <v>1583</v>
      </c>
      <c r="D24" s="10">
        <v>168</v>
      </c>
      <c r="E24" s="10">
        <v>17</v>
      </c>
      <c r="F24" s="10">
        <v>66</v>
      </c>
      <c r="G24" s="10">
        <v>251</v>
      </c>
      <c r="H24" s="10">
        <v>0</v>
      </c>
      <c r="I24" s="10">
        <v>482</v>
      </c>
      <c r="J24" s="11">
        <v>3482</v>
      </c>
    </row>
    <row r="25" spans="1:10" x14ac:dyDescent="0.3">
      <c r="A25" s="6" t="s">
        <v>33</v>
      </c>
      <c r="B25" s="7">
        <v>278</v>
      </c>
      <c r="C25" s="7">
        <v>83</v>
      </c>
      <c r="D25" s="7">
        <v>4</v>
      </c>
      <c r="E25" s="7">
        <v>1</v>
      </c>
      <c r="F25" s="7">
        <v>4</v>
      </c>
      <c r="G25" s="7">
        <v>9</v>
      </c>
      <c r="H25" s="7">
        <v>0</v>
      </c>
      <c r="I25" s="7">
        <v>88</v>
      </c>
      <c r="J25" s="8">
        <v>190</v>
      </c>
    </row>
    <row r="26" spans="1:10" x14ac:dyDescent="0.3">
      <c r="A26" s="9" t="s">
        <v>34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1">
        <v>0</v>
      </c>
    </row>
    <row r="27" spans="1:10" x14ac:dyDescent="0.3">
      <c r="A27" s="6" t="s">
        <v>35</v>
      </c>
      <c r="B27" s="7">
        <v>308</v>
      </c>
      <c r="C27" s="7">
        <v>137</v>
      </c>
      <c r="D27" s="7">
        <v>12</v>
      </c>
      <c r="E27" s="7">
        <v>1</v>
      </c>
      <c r="F27" s="7">
        <v>1</v>
      </c>
      <c r="G27" s="7">
        <v>14</v>
      </c>
      <c r="H27" s="7">
        <v>0</v>
      </c>
      <c r="I27" s="7">
        <v>114</v>
      </c>
      <c r="J27" s="8">
        <v>194</v>
      </c>
    </row>
    <row r="28" spans="1:10" x14ac:dyDescent="0.3">
      <c r="A28" s="9" t="s">
        <v>36</v>
      </c>
      <c r="B28" s="10">
        <v>352</v>
      </c>
      <c r="C28" s="10">
        <v>124</v>
      </c>
      <c r="D28" s="10">
        <v>10</v>
      </c>
      <c r="E28" s="10">
        <v>3</v>
      </c>
      <c r="F28" s="10">
        <v>4</v>
      </c>
      <c r="G28" s="10">
        <v>17</v>
      </c>
      <c r="H28" s="10">
        <v>0</v>
      </c>
      <c r="I28" s="10">
        <v>130</v>
      </c>
      <c r="J28" s="11">
        <v>222</v>
      </c>
    </row>
    <row r="29" spans="1:10" x14ac:dyDescent="0.3">
      <c r="A29" s="6" t="s">
        <v>37</v>
      </c>
      <c r="B29" s="7">
        <v>1194</v>
      </c>
      <c r="C29" s="7">
        <v>484</v>
      </c>
      <c r="D29" s="7">
        <v>2</v>
      </c>
      <c r="E29" s="7">
        <v>6</v>
      </c>
      <c r="F29" s="7">
        <v>22</v>
      </c>
      <c r="G29" s="7">
        <v>30</v>
      </c>
      <c r="H29" s="7">
        <v>0</v>
      </c>
      <c r="I29" s="7">
        <v>242</v>
      </c>
      <c r="J29" s="8">
        <v>952</v>
      </c>
    </row>
    <row r="30" spans="1:10" x14ac:dyDescent="0.3">
      <c r="A30" s="9" t="s">
        <v>38</v>
      </c>
      <c r="B30" s="10">
        <v>82</v>
      </c>
      <c r="C30" s="10">
        <v>23</v>
      </c>
      <c r="D30" s="10">
        <v>0</v>
      </c>
      <c r="E30" s="10">
        <v>0</v>
      </c>
      <c r="F30" s="10">
        <v>2</v>
      </c>
      <c r="G30" s="10">
        <v>2</v>
      </c>
      <c r="H30" s="10">
        <v>1</v>
      </c>
      <c r="I30" s="10">
        <v>38</v>
      </c>
      <c r="J30" s="11">
        <v>44</v>
      </c>
    </row>
    <row r="31" spans="1:10" x14ac:dyDescent="0.3">
      <c r="A31" s="6" t="s">
        <v>39</v>
      </c>
      <c r="B31" s="7">
        <v>107</v>
      </c>
      <c r="C31" s="7">
        <v>114</v>
      </c>
      <c r="D31" s="7">
        <v>36</v>
      </c>
      <c r="E31" s="7">
        <v>0</v>
      </c>
      <c r="F31" s="7">
        <v>1</v>
      </c>
      <c r="G31" s="7">
        <v>37</v>
      </c>
      <c r="H31" s="7">
        <v>0</v>
      </c>
      <c r="I31" s="7">
        <v>16</v>
      </c>
      <c r="J31" s="8">
        <v>91</v>
      </c>
    </row>
    <row r="32" spans="1:10" x14ac:dyDescent="0.3">
      <c r="A32" s="9" t="s">
        <v>40</v>
      </c>
      <c r="B32" s="10">
        <v>944</v>
      </c>
      <c r="C32" s="10">
        <v>356</v>
      </c>
      <c r="D32" s="10">
        <v>100</v>
      </c>
      <c r="E32" s="10">
        <v>3</v>
      </c>
      <c r="F32" s="10">
        <v>54</v>
      </c>
      <c r="G32" s="10">
        <v>157</v>
      </c>
      <c r="H32" s="10">
        <v>19</v>
      </c>
      <c r="I32" s="10">
        <v>388</v>
      </c>
      <c r="J32" s="11">
        <v>556</v>
      </c>
    </row>
    <row r="33" spans="1:10" x14ac:dyDescent="0.3">
      <c r="A33" s="6" t="s">
        <v>41</v>
      </c>
      <c r="B33" s="7">
        <v>854</v>
      </c>
      <c r="C33" s="7">
        <v>373</v>
      </c>
      <c r="D33" s="7">
        <v>11</v>
      </c>
      <c r="E33" s="7">
        <v>2</v>
      </c>
      <c r="F33" s="7">
        <v>42</v>
      </c>
      <c r="G33" s="7">
        <v>55</v>
      </c>
      <c r="H33" s="7">
        <v>9</v>
      </c>
      <c r="I33" s="7">
        <v>364</v>
      </c>
      <c r="J33" s="8">
        <v>490</v>
      </c>
    </row>
    <row r="34" spans="1:10" x14ac:dyDescent="0.3">
      <c r="A34" s="9" t="s">
        <v>42</v>
      </c>
      <c r="B34" s="10">
        <v>238</v>
      </c>
      <c r="C34" s="10">
        <v>102</v>
      </c>
      <c r="D34" s="10">
        <v>6</v>
      </c>
      <c r="E34" s="10">
        <v>0</v>
      </c>
      <c r="F34" s="10">
        <v>1</v>
      </c>
      <c r="G34" s="10">
        <v>7</v>
      </c>
      <c r="H34" s="10">
        <v>0</v>
      </c>
      <c r="I34" s="10">
        <v>62</v>
      </c>
      <c r="J34" s="11">
        <v>176</v>
      </c>
    </row>
    <row r="35" spans="1:10" x14ac:dyDescent="0.3">
      <c r="A35" s="6" t="s">
        <v>43</v>
      </c>
      <c r="B35" s="7">
        <v>2880</v>
      </c>
      <c r="C35" s="7">
        <v>1041</v>
      </c>
      <c r="D35" s="7">
        <v>213</v>
      </c>
      <c r="E35" s="7">
        <v>3</v>
      </c>
      <c r="F35" s="7">
        <v>78</v>
      </c>
      <c r="G35" s="7">
        <v>294</v>
      </c>
      <c r="H35" s="7">
        <v>3</v>
      </c>
      <c r="I35" s="7">
        <v>654</v>
      </c>
      <c r="J35" s="8">
        <v>2226</v>
      </c>
    </row>
    <row r="36" spans="1:10" x14ac:dyDescent="0.3">
      <c r="A36" s="9" t="s">
        <v>44</v>
      </c>
      <c r="B36" s="10">
        <v>332</v>
      </c>
      <c r="C36" s="10">
        <v>114</v>
      </c>
      <c r="D36" s="10">
        <v>6</v>
      </c>
      <c r="E36" s="10">
        <v>0</v>
      </c>
      <c r="F36" s="10">
        <v>10</v>
      </c>
      <c r="G36" s="10">
        <v>16</v>
      </c>
      <c r="H36" s="10">
        <v>0</v>
      </c>
      <c r="I36" s="10">
        <v>88</v>
      </c>
      <c r="J36" s="11">
        <v>244</v>
      </c>
    </row>
    <row r="37" spans="1:10" x14ac:dyDescent="0.3">
      <c r="A37" s="6" t="s">
        <v>45</v>
      </c>
      <c r="B37" s="7">
        <v>1450</v>
      </c>
      <c r="C37" s="7">
        <v>481</v>
      </c>
      <c r="D37" s="7">
        <v>149</v>
      </c>
      <c r="E37" s="7">
        <v>5</v>
      </c>
      <c r="F37" s="7">
        <v>62</v>
      </c>
      <c r="G37" s="7">
        <v>216</v>
      </c>
      <c r="H37" s="7">
        <v>1</v>
      </c>
      <c r="I37" s="7">
        <v>364</v>
      </c>
      <c r="J37" s="8">
        <v>1086</v>
      </c>
    </row>
    <row r="38" spans="1:10" x14ac:dyDescent="0.3">
      <c r="A38" s="9" t="s">
        <v>46</v>
      </c>
      <c r="B38" s="10">
        <v>84</v>
      </c>
      <c r="C38" s="10">
        <v>33</v>
      </c>
      <c r="D38" s="10">
        <v>0</v>
      </c>
      <c r="E38" s="10">
        <v>1</v>
      </c>
      <c r="F38" s="10">
        <v>2</v>
      </c>
      <c r="G38" s="10">
        <v>3</v>
      </c>
      <c r="H38" s="10">
        <v>0</v>
      </c>
      <c r="I38" s="10">
        <v>14</v>
      </c>
      <c r="J38" s="11">
        <v>70</v>
      </c>
    </row>
    <row r="39" spans="1:10" x14ac:dyDescent="0.3">
      <c r="A39" s="6" t="s">
        <v>47</v>
      </c>
      <c r="B39" s="7">
        <v>178</v>
      </c>
      <c r="C39" s="7">
        <v>53</v>
      </c>
      <c r="D39" s="7">
        <v>42</v>
      </c>
      <c r="E39" s="7">
        <v>0</v>
      </c>
      <c r="F39" s="7">
        <v>1</v>
      </c>
      <c r="G39" s="7">
        <v>43</v>
      </c>
      <c r="H39" s="7">
        <v>0</v>
      </c>
      <c r="I39" s="7">
        <v>76</v>
      </c>
      <c r="J39" s="8">
        <v>102</v>
      </c>
    </row>
    <row r="40" spans="1:10" x14ac:dyDescent="0.3">
      <c r="A40" s="18" t="s">
        <v>48</v>
      </c>
      <c r="B40" s="19">
        <v>8</v>
      </c>
      <c r="C40" s="19">
        <v>11</v>
      </c>
      <c r="D40" s="19">
        <v>2</v>
      </c>
      <c r="E40" s="19">
        <v>4</v>
      </c>
      <c r="F40" s="19">
        <v>2</v>
      </c>
      <c r="G40" s="19">
        <v>8</v>
      </c>
      <c r="H40" s="19">
        <v>0</v>
      </c>
      <c r="I40" s="19">
        <v>2</v>
      </c>
      <c r="J40" s="20">
        <v>6</v>
      </c>
    </row>
    <row r="41" spans="1:10" x14ac:dyDescent="0.3">
      <c r="A41" s="21" t="s">
        <v>49</v>
      </c>
      <c r="B41" s="22">
        <v>248</v>
      </c>
      <c r="C41" s="22">
        <v>123</v>
      </c>
      <c r="D41" s="22">
        <v>14</v>
      </c>
      <c r="E41" s="22">
        <v>0</v>
      </c>
      <c r="F41" s="22">
        <v>3</v>
      </c>
      <c r="G41" s="22">
        <v>17</v>
      </c>
      <c r="H41" s="22">
        <v>0</v>
      </c>
      <c r="I41" s="22">
        <v>130</v>
      </c>
      <c r="J41" s="23">
        <v>118</v>
      </c>
    </row>
    <row r="42" spans="1:10" x14ac:dyDescent="0.3">
      <c r="A42" s="18" t="s">
        <v>50</v>
      </c>
      <c r="B42" s="19">
        <v>3</v>
      </c>
      <c r="C42" s="19">
        <v>4</v>
      </c>
      <c r="D42" s="19">
        <v>1</v>
      </c>
      <c r="E42" s="19">
        <v>0</v>
      </c>
      <c r="F42" s="19">
        <v>0</v>
      </c>
      <c r="G42" s="19">
        <v>1</v>
      </c>
      <c r="H42" s="19">
        <v>0</v>
      </c>
      <c r="I42" s="19">
        <v>1</v>
      </c>
      <c r="J42" s="20">
        <v>2</v>
      </c>
    </row>
    <row r="43" spans="1:10" x14ac:dyDescent="0.3">
      <c r="A43" s="21" t="s">
        <v>51</v>
      </c>
      <c r="B43" s="22">
        <v>10</v>
      </c>
      <c r="C43" s="22">
        <v>11</v>
      </c>
      <c r="D43" s="22">
        <v>8</v>
      </c>
      <c r="E43" s="22">
        <v>2</v>
      </c>
      <c r="F43" s="22">
        <v>6</v>
      </c>
      <c r="G43" s="22">
        <v>16</v>
      </c>
      <c r="H43" s="22">
        <v>4</v>
      </c>
      <c r="I43" s="22">
        <v>4</v>
      </c>
      <c r="J43" s="23">
        <v>6</v>
      </c>
    </row>
    <row r="44" spans="1:10" x14ac:dyDescent="0.3">
      <c r="A44" s="6" t="s">
        <v>52</v>
      </c>
      <c r="B44" s="7">
        <v>90</v>
      </c>
      <c r="C44" s="7">
        <v>35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46</v>
      </c>
      <c r="J44" s="8">
        <v>44</v>
      </c>
    </row>
    <row r="45" spans="1:10" x14ac:dyDescent="0.3">
      <c r="A45" s="9" t="s">
        <v>53</v>
      </c>
      <c r="B45" s="10">
        <v>1120</v>
      </c>
      <c r="C45" s="10">
        <v>434</v>
      </c>
      <c r="D45" s="10">
        <v>7</v>
      </c>
      <c r="E45" s="10">
        <v>1</v>
      </c>
      <c r="F45" s="10">
        <v>16</v>
      </c>
      <c r="G45" s="10">
        <v>24</v>
      </c>
      <c r="H45" s="10">
        <v>1</v>
      </c>
      <c r="I45" s="10">
        <v>438</v>
      </c>
      <c r="J45" s="11">
        <v>682</v>
      </c>
    </row>
    <row r="46" spans="1:10" x14ac:dyDescent="0.3">
      <c r="A46" s="6" t="s">
        <v>54</v>
      </c>
      <c r="B46" s="7">
        <v>1382</v>
      </c>
      <c r="C46" s="7">
        <v>765</v>
      </c>
      <c r="D46" s="7">
        <v>0</v>
      </c>
      <c r="E46" s="7">
        <v>5</v>
      </c>
      <c r="F46" s="7">
        <v>25</v>
      </c>
      <c r="G46" s="7">
        <v>30</v>
      </c>
      <c r="H46" s="7">
        <v>2</v>
      </c>
      <c r="I46" s="7">
        <v>202</v>
      </c>
      <c r="J46" s="8">
        <v>1180</v>
      </c>
    </row>
    <row r="47" spans="1:10" x14ac:dyDescent="0.3">
      <c r="A47" s="9" t="s">
        <v>55</v>
      </c>
      <c r="B47" s="10">
        <v>548</v>
      </c>
      <c r="C47" s="10">
        <v>219</v>
      </c>
      <c r="D47" s="10">
        <v>11</v>
      </c>
      <c r="E47" s="10">
        <v>0</v>
      </c>
      <c r="F47" s="10">
        <v>16</v>
      </c>
      <c r="G47" s="10">
        <v>27</v>
      </c>
      <c r="H47" s="10">
        <v>0</v>
      </c>
      <c r="I47" s="10">
        <v>62</v>
      </c>
      <c r="J47" s="11">
        <v>486</v>
      </c>
    </row>
    <row r="48" spans="1:10" x14ac:dyDescent="0.3">
      <c r="A48" s="6" t="s">
        <v>56</v>
      </c>
      <c r="B48" s="7">
        <v>858</v>
      </c>
      <c r="C48" s="7">
        <v>336</v>
      </c>
      <c r="D48" s="7">
        <v>13</v>
      </c>
      <c r="E48" s="7">
        <v>19</v>
      </c>
      <c r="F48" s="7">
        <v>60</v>
      </c>
      <c r="G48" s="7">
        <v>92</v>
      </c>
      <c r="H48" s="7">
        <v>0</v>
      </c>
      <c r="I48" s="7">
        <v>198</v>
      </c>
      <c r="J48" s="8">
        <v>660</v>
      </c>
    </row>
    <row r="49" spans="1:10" x14ac:dyDescent="0.3">
      <c r="A49" s="9" t="s">
        <v>57</v>
      </c>
      <c r="B49" s="10">
        <v>1872</v>
      </c>
      <c r="C49" s="10">
        <v>840</v>
      </c>
      <c r="D49" s="10">
        <v>69</v>
      </c>
      <c r="E49" s="10">
        <v>1</v>
      </c>
      <c r="F49" s="10">
        <v>49</v>
      </c>
      <c r="G49" s="10">
        <v>119</v>
      </c>
      <c r="H49" s="10">
        <v>14</v>
      </c>
      <c r="I49" s="10">
        <v>376</v>
      </c>
      <c r="J49" s="11">
        <v>1496</v>
      </c>
    </row>
    <row r="50" spans="1:10" x14ac:dyDescent="0.3">
      <c r="A50" s="6" t="s">
        <v>58</v>
      </c>
      <c r="B50" s="7">
        <v>316</v>
      </c>
      <c r="C50" s="7">
        <v>120</v>
      </c>
      <c r="D50" s="7">
        <v>26</v>
      </c>
      <c r="E50" s="7">
        <v>0</v>
      </c>
      <c r="F50" s="7">
        <v>4</v>
      </c>
      <c r="G50" s="7">
        <v>30</v>
      </c>
      <c r="H50" s="7">
        <v>0</v>
      </c>
      <c r="I50" s="7">
        <v>92</v>
      </c>
      <c r="J50" s="8">
        <v>224</v>
      </c>
    </row>
    <row r="51" spans="1:10" x14ac:dyDescent="0.3">
      <c r="A51" s="9" t="s">
        <v>59</v>
      </c>
      <c r="B51" s="10">
        <v>708</v>
      </c>
      <c r="C51" s="10">
        <v>396</v>
      </c>
      <c r="D51" s="10">
        <v>28</v>
      </c>
      <c r="E51" s="10">
        <v>11</v>
      </c>
      <c r="F51" s="10">
        <v>18</v>
      </c>
      <c r="G51" s="10">
        <v>57</v>
      </c>
      <c r="H51" s="10">
        <v>0</v>
      </c>
      <c r="I51" s="10">
        <v>128</v>
      </c>
      <c r="J51" s="11">
        <v>580</v>
      </c>
    </row>
    <row r="52" spans="1:10" x14ac:dyDescent="0.3">
      <c r="A52" s="6" t="s">
        <v>60</v>
      </c>
      <c r="B52" s="7">
        <v>92</v>
      </c>
      <c r="C52" s="7">
        <v>94</v>
      </c>
      <c r="D52" s="7">
        <v>6</v>
      </c>
      <c r="E52" s="7">
        <v>0</v>
      </c>
      <c r="F52" s="7">
        <v>0</v>
      </c>
      <c r="G52" s="7">
        <v>6</v>
      </c>
      <c r="H52" s="7">
        <v>0</v>
      </c>
      <c r="I52" s="7">
        <v>14</v>
      </c>
      <c r="J52" s="8">
        <v>78</v>
      </c>
    </row>
    <row r="53" spans="1:10" x14ac:dyDescent="0.3">
      <c r="A53" s="9" t="s">
        <v>61</v>
      </c>
      <c r="B53" s="10">
        <v>23</v>
      </c>
      <c r="C53" s="10">
        <v>12</v>
      </c>
      <c r="D53" s="10">
        <v>1</v>
      </c>
      <c r="E53" s="10">
        <v>0</v>
      </c>
      <c r="F53" s="10">
        <v>2</v>
      </c>
      <c r="G53" s="10">
        <v>3</v>
      </c>
      <c r="H53" s="10">
        <v>0</v>
      </c>
      <c r="I53" s="10">
        <v>6</v>
      </c>
      <c r="J53" s="11">
        <v>17</v>
      </c>
    </row>
    <row r="54" spans="1:10" x14ac:dyDescent="0.3">
      <c r="A54" s="6" t="s">
        <v>62</v>
      </c>
      <c r="B54" s="7">
        <v>942</v>
      </c>
      <c r="C54" s="7">
        <v>393</v>
      </c>
      <c r="D54" s="7">
        <v>3</v>
      </c>
      <c r="E54" s="7">
        <v>0</v>
      </c>
      <c r="F54" s="7">
        <v>4</v>
      </c>
      <c r="G54" s="7">
        <v>7</v>
      </c>
      <c r="H54" s="7">
        <v>0</v>
      </c>
      <c r="I54" s="7">
        <v>264</v>
      </c>
      <c r="J54" s="8">
        <v>678</v>
      </c>
    </row>
    <row r="55" spans="1:10" x14ac:dyDescent="0.3">
      <c r="A55" s="30" t="s">
        <v>63</v>
      </c>
      <c r="B55" s="31">
        <f>SUM(B12,B13,B14,B15)</f>
        <v>756</v>
      </c>
      <c r="C55" s="31">
        <f t="shared" ref="C55:J55" si="0">SUM(C12,C13,C14,C15)</f>
        <v>349</v>
      </c>
      <c r="D55" s="31">
        <f t="shared" si="0"/>
        <v>20</v>
      </c>
      <c r="E55" s="31">
        <f t="shared" si="0"/>
        <v>3</v>
      </c>
      <c r="F55" s="31">
        <f t="shared" si="0"/>
        <v>9</v>
      </c>
      <c r="G55" s="31">
        <f t="shared" si="0"/>
        <v>32</v>
      </c>
      <c r="H55" s="31">
        <f t="shared" si="0"/>
        <v>1</v>
      </c>
      <c r="I55" s="31">
        <f t="shared" si="0"/>
        <v>358</v>
      </c>
      <c r="J55" s="32">
        <f t="shared" si="0"/>
        <v>398</v>
      </c>
    </row>
    <row r="56" spans="1:10" x14ac:dyDescent="0.3">
      <c r="A56" s="27" t="s">
        <v>64</v>
      </c>
      <c r="B56" s="28">
        <f>SUM(B40,B41,B42,B43)</f>
        <v>269</v>
      </c>
      <c r="C56" s="28">
        <f t="shared" ref="C56:J56" si="1">SUM(C40,C41,C42,C43)</f>
        <v>149</v>
      </c>
      <c r="D56" s="28">
        <f t="shared" si="1"/>
        <v>25</v>
      </c>
      <c r="E56" s="28">
        <f t="shared" si="1"/>
        <v>6</v>
      </c>
      <c r="F56" s="28">
        <f t="shared" si="1"/>
        <v>11</v>
      </c>
      <c r="G56" s="28">
        <f t="shared" si="1"/>
        <v>42</v>
      </c>
      <c r="H56" s="28">
        <f t="shared" si="1"/>
        <v>4</v>
      </c>
      <c r="I56" s="28">
        <f t="shared" si="1"/>
        <v>137</v>
      </c>
      <c r="J56" s="29">
        <f t="shared" si="1"/>
        <v>132</v>
      </c>
    </row>
    <row r="57" spans="1:10" x14ac:dyDescent="0.3">
      <c r="A57" s="24" t="s">
        <v>65</v>
      </c>
      <c r="B57" s="25">
        <f>SUM(B2:B54)</f>
        <v>37825</v>
      </c>
      <c r="C57" s="25">
        <f t="shared" ref="C57:J57" si="2">SUM(C2:C54)</f>
        <v>15860</v>
      </c>
      <c r="D57" s="25">
        <f t="shared" si="2"/>
        <v>1956</v>
      </c>
      <c r="E57" s="25">
        <f t="shared" si="2"/>
        <v>159</v>
      </c>
      <c r="F57" s="25">
        <f t="shared" si="2"/>
        <v>954</v>
      </c>
      <c r="G57" s="25">
        <f t="shared" si="2"/>
        <v>3069</v>
      </c>
      <c r="H57" s="25">
        <f t="shared" si="2"/>
        <v>80</v>
      </c>
      <c r="I57" s="25">
        <f t="shared" si="2"/>
        <v>8789</v>
      </c>
      <c r="J57" s="26">
        <f t="shared" si="2"/>
        <v>29036</v>
      </c>
    </row>
  </sheetData>
  <autoFilter ref="A1:J5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style="1" customWidth="1"/>
    <col min="2" max="10" width="15.6640625" customWidth="1"/>
  </cols>
  <sheetData>
    <row r="1" spans="1:10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>
        <v>2544</v>
      </c>
      <c r="C2" s="4">
        <v>1230</v>
      </c>
      <c r="D2" s="4">
        <v>51</v>
      </c>
      <c r="E2" s="4">
        <v>2</v>
      </c>
      <c r="F2" s="4">
        <v>51</v>
      </c>
      <c r="G2" s="4">
        <v>104</v>
      </c>
      <c r="H2" s="4">
        <v>3</v>
      </c>
      <c r="I2" s="4">
        <v>380</v>
      </c>
      <c r="J2" s="5">
        <v>2164</v>
      </c>
    </row>
    <row r="3" spans="1:10" x14ac:dyDescent="0.3">
      <c r="A3" s="6" t="s">
        <v>11</v>
      </c>
      <c r="B3" s="7">
        <v>970</v>
      </c>
      <c r="C3" s="7">
        <v>426</v>
      </c>
      <c r="D3" s="7">
        <v>22</v>
      </c>
      <c r="E3" s="7">
        <v>2</v>
      </c>
      <c r="F3" s="7">
        <v>32</v>
      </c>
      <c r="G3" s="7">
        <v>56</v>
      </c>
      <c r="H3" s="7">
        <v>1</v>
      </c>
      <c r="I3" s="7">
        <v>176</v>
      </c>
      <c r="J3" s="8">
        <v>794</v>
      </c>
    </row>
    <row r="4" spans="1:10" x14ac:dyDescent="0.3">
      <c r="A4" s="9" t="s">
        <v>12</v>
      </c>
      <c r="B4" s="10">
        <v>2568</v>
      </c>
      <c r="C4" s="10">
        <v>1020</v>
      </c>
      <c r="D4" s="10">
        <v>146</v>
      </c>
      <c r="E4" s="10">
        <v>12</v>
      </c>
      <c r="F4" s="10">
        <v>85</v>
      </c>
      <c r="G4" s="10">
        <v>243</v>
      </c>
      <c r="H4" s="10">
        <v>2</v>
      </c>
      <c r="I4" s="10">
        <v>498</v>
      </c>
      <c r="J4" s="11">
        <v>2070</v>
      </c>
    </row>
    <row r="5" spans="1:10" x14ac:dyDescent="0.3">
      <c r="A5" s="6" t="s">
        <v>13</v>
      </c>
      <c r="B5" s="7">
        <v>34</v>
      </c>
      <c r="C5" s="7">
        <v>8</v>
      </c>
      <c r="D5" s="7">
        <v>3</v>
      </c>
      <c r="E5" s="7">
        <v>0</v>
      </c>
      <c r="F5" s="7">
        <v>0</v>
      </c>
      <c r="G5" s="7">
        <v>3</v>
      </c>
      <c r="H5" s="7">
        <v>0</v>
      </c>
      <c r="I5" s="7">
        <v>10</v>
      </c>
      <c r="J5" s="8">
        <v>24</v>
      </c>
    </row>
    <row r="6" spans="1:10" x14ac:dyDescent="0.3">
      <c r="A6" s="9" t="s">
        <v>14</v>
      </c>
      <c r="B6" s="10">
        <v>2776</v>
      </c>
      <c r="C6" s="10">
        <v>968</v>
      </c>
      <c r="D6" s="10">
        <v>290</v>
      </c>
      <c r="E6" s="10">
        <v>4</v>
      </c>
      <c r="F6" s="10">
        <v>49</v>
      </c>
      <c r="G6" s="10">
        <v>343</v>
      </c>
      <c r="H6" s="10">
        <v>12</v>
      </c>
      <c r="I6" s="10">
        <v>880</v>
      </c>
      <c r="J6" s="11">
        <v>1896</v>
      </c>
    </row>
    <row r="7" spans="1:10" x14ac:dyDescent="0.3">
      <c r="A7" s="6" t="s">
        <v>15</v>
      </c>
      <c r="B7" s="7">
        <v>430</v>
      </c>
      <c r="C7" s="7">
        <v>203</v>
      </c>
      <c r="D7" s="7">
        <v>0</v>
      </c>
      <c r="E7" s="7">
        <v>0</v>
      </c>
      <c r="F7" s="7">
        <v>6</v>
      </c>
      <c r="G7" s="7">
        <v>6</v>
      </c>
      <c r="H7" s="7">
        <v>4</v>
      </c>
      <c r="I7" s="7">
        <v>220</v>
      </c>
      <c r="J7" s="8">
        <v>210</v>
      </c>
    </row>
    <row r="8" spans="1:10" x14ac:dyDescent="0.3">
      <c r="A8" s="9" t="s">
        <v>16</v>
      </c>
      <c r="B8" s="10">
        <v>140</v>
      </c>
      <c r="C8" s="10">
        <v>68</v>
      </c>
      <c r="D8" s="10">
        <v>17</v>
      </c>
      <c r="E8" s="10">
        <v>0</v>
      </c>
      <c r="F8" s="10">
        <v>10</v>
      </c>
      <c r="G8" s="10">
        <v>27</v>
      </c>
      <c r="H8" s="10">
        <v>0</v>
      </c>
      <c r="I8" s="10">
        <v>32</v>
      </c>
      <c r="J8" s="11">
        <v>108</v>
      </c>
    </row>
    <row r="9" spans="1:10" x14ac:dyDescent="0.3">
      <c r="A9" s="6" t="s">
        <v>17</v>
      </c>
      <c r="B9" s="7">
        <v>54</v>
      </c>
      <c r="C9" s="7">
        <v>31</v>
      </c>
      <c r="D9" s="7">
        <v>0</v>
      </c>
      <c r="E9" s="7">
        <v>0</v>
      </c>
      <c r="F9" s="7">
        <v>1</v>
      </c>
      <c r="G9" s="7">
        <v>1</v>
      </c>
      <c r="H9" s="7">
        <v>0</v>
      </c>
      <c r="I9" s="7">
        <v>20</v>
      </c>
      <c r="J9" s="8">
        <v>34</v>
      </c>
    </row>
    <row r="10" spans="1:10" x14ac:dyDescent="0.3">
      <c r="A10" s="9" t="s">
        <v>18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1">
        <v>0</v>
      </c>
    </row>
    <row r="11" spans="1:10" x14ac:dyDescent="0.3">
      <c r="A11" s="6" t="s">
        <v>19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8">
        <v>0</v>
      </c>
    </row>
    <row r="12" spans="1:10" x14ac:dyDescent="0.3">
      <c r="A12" s="12" t="s">
        <v>20</v>
      </c>
      <c r="B12" s="13">
        <v>10</v>
      </c>
      <c r="C12" s="13">
        <v>9</v>
      </c>
      <c r="D12" s="13">
        <v>0</v>
      </c>
      <c r="E12" s="13">
        <v>0</v>
      </c>
      <c r="F12" s="13">
        <v>1</v>
      </c>
      <c r="G12" s="13">
        <v>1</v>
      </c>
      <c r="H12" s="13">
        <v>0</v>
      </c>
      <c r="I12" s="13">
        <v>8</v>
      </c>
      <c r="J12" s="14">
        <v>2</v>
      </c>
    </row>
    <row r="13" spans="1:10" x14ac:dyDescent="0.3">
      <c r="A13" s="15" t="s">
        <v>21</v>
      </c>
      <c r="B13" s="16">
        <v>114</v>
      </c>
      <c r="C13" s="16">
        <v>64</v>
      </c>
      <c r="D13" s="16">
        <v>2</v>
      </c>
      <c r="E13" s="16">
        <v>0</v>
      </c>
      <c r="F13" s="16">
        <v>1</v>
      </c>
      <c r="G13" s="16">
        <v>3</v>
      </c>
      <c r="H13" s="16">
        <v>0</v>
      </c>
      <c r="I13" s="16">
        <v>60</v>
      </c>
      <c r="J13" s="17">
        <v>54</v>
      </c>
    </row>
    <row r="14" spans="1:10" x14ac:dyDescent="0.3">
      <c r="A14" s="12" t="s">
        <v>22</v>
      </c>
      <c r="B14" s="13">
        <v>324</v>
      </c>
      <c r="C14" s="13">
        <v>164</v>
      </c>
      <c r="D14" s="13">
        <v>3</v>
      </c>
      <c r="E14" s="13">
        <v>1</v>
      </c>
      <c r="F14" s="13">
        <v>14</v>
      </c>
      <c r="G14" s="13">
        <v>18</v>
      </c>
      <c r="H14" s="13">
        <v>0</v>
      </c>
      <c r="I14" s="13">
        <v>182</v>
      </c>
      <c r="J14" s="14">
        <v>142</v>
      </c>
    </row>
    <row r="15" spans="1:10" x14ac:dyDescent="0.3">
      <c r="A15" s="15" t="s">
        <v>23</v>
      </c>
      <c r="B15" s="16">
        <v>84</v>
      </c>
      <c r="C15" s="16">
        <v>41</v>
      </c>
      <c r="D15" s="16">
        <v>2</v>
      </c>
      <c r="E15" s="16">
        <v>2</v>
      </c>
      <c r="F15" s="16">
        <v>7</v>
      </c>
      <c r="G15" s="16">
        <v>11</v>
      </c>
      <c r="H15" s="16">
        <v>0</v>
      </c>
      <c r="I15" s="16">
        <v>36</v>
      </c>
      <c r="J15" s="17">
        <v>48</v>
      </c>
    </row>
    <row r="16" spans="1:10" x14ac:dyDescent="0.3">
      <c r="A16" s="9" t="s">
        <v>24</v>
      </c>
      <c r="B16" s="10">
        <v>158</v>
      </c>
      <c r="C16" s="10">
        <v>79</v>
      </c>
      <c r="D16" s="10">
        <v>0</v>
      </c>
      <c r="E16" s="10">
        <v>1</v>
      </c>
      <c r="F16" s="10">
        <v>2</v>
      </c>
      <c r="G16" s="10">
        <v>3</v>
      </c>
      <c r="H16" s="10">
        <v>0</v>
      </c>
      <c r="I16" s="10">
        <v>74</v>
      </c>
      <c r="J16" s="11">
        <v>84</v>
      </c>
    </row>
    <row r="17" spans="1:10" x14ac:dyDescent="0.3">
      <c r="A17" s="6" t="s">
        <v>25</v>
      </c>
      <c r="B17" s="7">
        <v>1114</v>
      </c>
      <c r="C17" s="7">
        <v>439</v>
      </c>
      <c r="D17" s="7">
        <v>60</v>
      </c>
      <c r="E17" s="7">
        <v>3</v>
      </c>
      <c r="F17" s="7">
        <v>20</v>
      </c>
      <c r="G17" s="7">
        <v>83</v>
      </c>
      <c r="H17" s="7">
        <v>0</v>
      </c>
      <c r="I17" s="7">
        <v>336</v>
      </c>
      <c r="J17" s="8">
        <v>778</v>
      </c>
    </row>
    <row r="18" spans="1:10" x14ac:dyDescent="0.3">
      <c r="A18" s="9" t="s">
        <v>26</v>
      </c>
      <c r="B18" s="10">
        <v>120</v>
      </c>
      <c r="C18" s="10">
        <v>64</v>
      </c>
      <c r="D18" s="10">
        <v>1</v>
      </c>
      <c r="E18" s="10">
        <v>0</v>
      </c>
      <c r="F18" s="10">
        <v>6</v>
      </c>
      <c r="G18" s="10">
        <v>7</v>
      </c>
      <c r="H18" s="10">
        <v>0</v>
      </c>
      <c r="I18" s="10">
        <v>16</v>
      </c>
      <c r="J18" s="11">
        <v>104</v>
      </c>
    </row>
    <row r="19" spans="1:10" x14ac:dyDescent="0.3">
      <c r="A19" s="6" t="s">
        <v>27</v>
      </c>
      <c r="B19" s="7">
        <v>776</v>
      </c>
      <c r="C19" s="7">
        <v>315</v>
      </c>
      <c r="D19" s="7">
        <v>44</v>
      </c>
      <c r="E19" s="7">
        <v>3</v>
      </c>
      <c r="F19" s="7">
        <v>25</v>
      </c>
      <c r="G19" s="7">
        <v>72</v>
      </c>
      <c r="H19" s="7">
        <v>3</v>
      </c>
      <c r="I19" s="7">
        <v>298</v>
      </c>
      <c r="J19" s="8">
        <v>478</v>
      </c>
    </row>
    <row r="20" spans="1:10" x14ac:dyDescent="0.3">
      <c r="A20" s="9" t="s">
        <v>28</v>
      </c>
      <c r="B20" s="10">
        <v>1</v>
      </c>
      <c r="C20" s="10">
        <v>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1</v>
      </c>
      <c r="J20" s="11">
        <v>0</v>
      </c>
    </row>
    <row r="21" spans="1:10" x14ac:dyDescent="0.3">
      <c r="A21" s="6" t="s">
        <v>29</v>
      </c>
      <c r="B21" s="7">
        <v>760</v>
      </c>
      <c r="C21" s="7">
        <v>357</v>
      </c>
      <c r="D21" s="7">
        <v>35</v>
      </c>
      <c r="E21" s="7">
        <v>3</v>
      </c>
      <c r="F21" s="7">
        <v>27</v>
      </c>
      <c r="G21" s="7">
        <v>65</v>
      </c>
      <c r="H21" s="7">
        <v>2</v>
      </c>
      <c r="I21" s="7">
        <v>178</v>
      </c>
      <c r="J21" s="8">
        <v>582</v>
      </c>
    </row>
    <row r="22" spans="1:10" x14ac:dyDescent="0.3">
      <c r="A22" s="9" t="s">
        <v>30</v>
      </c>
      <c r="B22" s="10">
        <v>178</v>
      </c>
      <c r="C22" s="10">
        <v>72</v>
      </c>
      <c r="D22" s="10">
        <v>14</v>
      </c>
      <c r="E22" s="10">
        <v>0</v>
      </c>
      <c r="F22" s="10">
        <v>8</v>
      </c>
      <c r="G22" s="10">
        <v>22</v>
      </c>
      <c r="H22" s="10">
        <v>0</v>
      </c>
      <c r="I22" s="10">
        <v>66</v>
      </c>
      <c r="J22" s="11">
        <v>112</v>
      </c>
    </row>
    <row r="23" spans="1:10" x14ac:dyDescent="0.3">
      <c r="A23" s="6" t="s">
        <v>31</v>
      </c>
      <c r="B23" s="7">
        <v>1280</v>
      </c>
      <c r="C23" s="7">
        <v>394</v>
      </c>
      <c r="D23" s="7">
        <v>154</v>
      </c>
      <c r="E23" s="7">
        <v>11</v>
      </c>
      <c r="F23" s="7">
        <v>44</v>
      </c>
      <c r="G23" s="7">
        <v>209</v>
      </c>
      <c r="H23" s="7">
        <v>1</v>
      </c>
      <c r="I23" s="7">
        <v>334</v>
      </c>
      <c r="J23" s="8">
        <v>946</v>
      </c>
    </row>
    <row r="24" spans="1:10" x14ac:dyDescent="0.3">
      <c r="A24" s="9" t="s">
        <v>32</v>
      </c>
      <c r="B24" s="10">
        <v>3652</v>
      </c>
      <c r="C24" s="10">
        <v>1682</v>
      </c>
      <c r="D24" s="10">
        <v>170</v>
      </c>
      <c r="E24" s="10">
        <v>17</v>
      </c>
      <c r="F24" s="10">
        <v>105</v>
      </c>
      <c r="G24" s="10">
        <v>292</v>
      </c>
      <c r="H24" s="10">
        <v>3</v>
      </c>
      <c r="I24" s="10">
        <v>554</v>
      </c>
      <c r="J24" s="11">
        <v>3098</v>
      </c>
    </row>
    <row r="25" spans="1:10" x14ac:dyDescent="0.3">
      <c r="A25" s="6" t="s">
        <v>33</v>
      </c>
      <c r="B25" s="7">
        <v>314</v>
      </c>
      <c r="C25" s="7">
        <v>157</v>
      </c>
      <c r="D25" s="7">
        <v>8</v>
      </c>
      <c r="E25" s="7">
        <v>0</v>
      </c>
      <c r="F25" s="7">
        <v>9</v>
      </c>
      <c r="G25" s="7">
        <v>17</v>
      </c>
      <c r="H25" s="7">
        <v>0</v>
      </c>
      <c r="I25" s="7">
        <v>124</v>
      </c>
      <c r="J25" s="8">
        <v>190</v>
      </c>
    </row>
    <row r="26" spans="1:10" x14ac:dyDescent="0.3">
      <c r="A26" s="9" t="s">
        <v>34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1">
        <v>0</v>
      </c>
    </row>
    <row r="27" spans="1:10" x14ac:dyDescent="0.3">
      <c r="A27" s="6" t="s">
        <v>35</v>
      </c>
      <c r="B27" s="7">
        <v>288</v>
      </c>
      <c r="C27" s="7">
        <v>138</v>
      </c>
      <c r="D27" s="7">
        <v>0</v>
      </c>
      <c r="E27" s="7">
        <v>1</v>
      </c>
      <c r="F27" s="7">
        <v>9</v>
      </c>
      <c r="G27" s="7">
        <v>10</v>
      </c>
      <c r="H27" s="7">
        <v>0</v>
      </c>
      <c r="I27" s="7">
        <v>86</v>
      </c>
      <c r="J27" s="8">
        <v>202</v>
      </c>
    </row>
    <row r="28" spans="1:10" x14ac:dyDescent="0.3">
      <c r="A28" s="9" t="s">
        <v>36</v>
      </c>
      <c r="B28" s="10">
        <v>133</v>
      </c>
      <c r="C28" s="10">
        <v>113</v>
      </c>
      <c r="D28" s="10">
        <v>33</v>
      </c>
      <c r="E28" s="10">
        <v>1</v>
      </c>
      <c r="F28" s="10">
        <v>5</v>
      </c>
      <c r="G28" s="10">
        <v>39</v>
      </c>
      <c r="H28" s="10">
        <v>0</v>
      </c>
      <c r="I28" s="10">
        <v>50</v>
      </c>
      <c r="J28" s="11">
        <v>83</v>
      </c>
    </row>
    <row r="29" spans="1:10" x14ac:dyDescent="0.3">
      <c r="A29" s="6" t="s">
        <v>37</v>
      </c>
      <c r="B29" s="7">
        <v>1070</v>
      </c>
      <c r="C29" s="7">
        <v>631</v>
      </c>
      <c r="D29" s="7">
        <v>3</v>
      </c>
      <c r="E29" s="7">
        <v>4</v>
      </c>
      <c r="F29" s="7">
        <v>15</v>
      </c>
      <c r="G29" s="7">
        <v>22</v>
      </c>
      <c r="H29" s="7">
        <v>0</v>
      </c>
      <c r="I29" s="7">
        <v>286</v>
      </c>
      <c r="J29" s="8">
        <v>784</v>
      </c>
    </row>
    <row r="30" spans="1:10" x14ac:dyDescent="0.3">
      <c r="A30" s="9" t="s">
        <v>38</v>
      </c>
      <c r="B30" s="10">
        <v>114</v>
      </c>
      <c r="C30" s="10">
        <v>63</v>
      </c>
      <c r="D30" s="10">
        <v>0</v>
      </c>
      <c r="E30" s="10">
        <v>0</v>
      </c>
      <c r="F30" s="10">
        <v>7</v>
      </c>
      <c r="G30" s="10">
        <v>7</v>
      </c>
      <c r="H30" s="10">
        <v>0</v>
      </c>
      <c r="I30" s="10">
        <v>62</v>
      </c>
      <c r="J30" s="11">
        <v>52</v>
      </c>
    </row>
    <row r="31" spans="1:10" x14ac:dyDescent="0.3">
      <c r="A31" s="6" t="s">
        <v>39</v>
      </c>
      <c r="B31" s="7">
        <v>122</v>
      </c>
      <c r="C31" s="7">
        <v>47</v>
      </c>
      <c r="D31" s="7">
        <v>30</v>
      </c>
      <c r="E31" s="7">
        <v>0</v>
      </c>
      <c r="F31" s="7">
        <v>5</v>
      </c>
      <c r="G31" s="7">
        <v>35</v>
      </c>
      <c r="H31" s="7">
        <v>4</v>
      </c>
      <c r="I31" s="7">
        <v>24</v>
      </c>
      <c r="J31" s="8">
        <v>98</v>
      </c>
    </row>
    <row r="32" spans="1:10" x14ac:dyDescent="0.3">
      <c r="A32" s="9" t="s">
        <v>40</v>
      </c>
      <c r="B32" s="10">
        <v>942</v>
      </c>
      <c r="C32" s="10">
        <v>344</v>
      </c>
      <c r="D32" s="10">
        <v>81</v>
      </c>
      <c r="E32" s="10">
        <v>0</v>
      </c>
      <c r="F32" s="10">
        <v>23</v>
      </c>
      <c r="G32" s="10">
        <v>104</v>
      </c>
      <c r="H32" s="10">
        <v>3</v>
      </c>
      <c r="I32" s="10">
        <v>416</v>
      </c>
      <c r="J32" s="11">
        <v>526</v>
      </c>
    </row>
    <row r="33" spans="1:10" x14ac:dyDescent="0.3">
      <c r="A33" s="6" t="s">
        <v>41</v>
      </c>
      <c r="B33" s="7">
        <v>756</v>
      </c>
      <c r="C33" s="7">
        <v>285</v>
      </c>
      <c r="D33" s="7">
        <v>13</v>
      </c>
      <c r="E33" s="7">
        <v>1</v>
      </c>
      <c r="F33" s="7">
        <v>60</v>
      </c>
      <c r="G33" s="7">
        <v>74</v>
      </c>
      <c r="H33" s="7">
        <v>21</v>
      </c>
      <c r="I33" s="7">
        <v>286</v>
      </c>
      <c r="J33" s="8">
        <v>470</v>
      </c>
    </row>
    <row r="34" spans="1:10" x14ac:dyDescent="0.3">
      <c r="A34" s="9" t="s">
        <v>42</v>
      </c>
      <c r="B34" s="10">
        <v>226</v>
      </c>
      <c r="C34" s="10">
        <v>103</v>
      </c>
      <c r="D34" s="10">
        <v>15</v>
      </c>
      <c r="E34" s="10">
        <v>1</v>
      </c>
      <c r="F34" s="10">
        <v>4</v>
      </c>
      <c r="G34" s="10">
        <v>20</v>
      </c>
      <c r="H34" s="10">
        <v>1</v>
      </c>
      <c r="I34" s="10">
        <v>72</v>
      </c>
      <c r="J34" s="11">
        <v>154</v>
      </c>
    </row>
    <row r="35" spans="1:10" x14ac:dyDescent="0.3">
      <c r="A35" s="6" t="s">
        <v>43</v>
      </c>
      <c r="B35" s="7">
        <v>3478</v>
      </c>
      <c r="C35" s="7">
        <v>1551</v>
      </c>
      <c r="D35" s="7">
        <v>191</v>
      </c>
      <c r="E35" s="7">
        <v>7</v>
      </c>
      <c r="F35" s="7">
        <v>58</v>
      </c>
      <c r="G35" s="7">
        <v>256</v>
      </c>
      <c r="H35" s="7">
        <v>2</v>
      </c>
      <c r="I35" s="7">
        <v>824</v>
      </c>
      <c r="J35" s="8">
        <v>2654</v>
      </c>
    </row>
    <row r="36" spans="1:10" x14ac:dyDescent="0.3">
      <c r="A36" s="9" t="s">
        <v>44</v>
      </c>
      <c r="B36" s="10">
        <v>318</v>
      </c>
      <c r="C36" s="10">
        <v>167</v>
      </c>
      <c r="D36" s="10">
        <v>9</v>
      </c>
      <c r="E36" s="10">
        <v>0</v>
      </c>
      <c r="F36" s="10">
        <v>13</v>
      </c>
      <c r="G36" s="10">
        <v>22</v>
      </c>
      <c r="H36" s="10">
        <v>0</v>
      </c>
      <c r="I36" s="10">
        <v>100</v>
      </c>
      <c r="J36" s="11">
        <v>218</v>
      </c>
    </row>
    <row r="37" spans="1:10" x14ac:dyDescent="0.3">
      <c r="A37" s="6" t="s">
        <v>45</v>
      </c>
      <c r="B37" s="7">
        <v>1068</v>
      </c>
      <c r="C37" s="7">
        <v>461</v>
      </c>
      <c r="D37" s="7">
        <v>103</v>
      </c>
      <c r="E37" s="7">
        <v>6</v>
      </c>
      <c r="F37" s="7">
        <v>30</v>
      </c>
      <c r="G37" s="7">
        <v>139</v>
      </c>
      <c r="H37" s="7">
        <v>4</v>
      </c>
      <c r="I37" s="7">
        <v>294</v>
      </c>
      <c r="J37" s="8">
        <v>774</v>
      </c>
    </row>
    <row r="38" spans="1:10" x14ac:dyDescent="0.3">
      <c r="A38" s="9" t="s">
        <v>46</v>
      </c>
      <c r="B38" s="10">
        <v>78</v>
      </c>
      <c r="C38" s="10">
        <v>46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22</v>
      </c>
      <c r="J38" s="11">
        <v>56</v>
      </c>
    </row>
    <row r="39" spans="1:10" x14ac:dyDescent="0.3">
      <c r="A39" s="6" t="s">
        <v>47</v>
      </c>
      <c r="B39" s="7">
        <v>242</v>
      </c>
      <c r="C39" s="7">
        <v>58</v>
      </c>
      <c r="D39" s="7">
        <v>21</v>
      </c>
      <c r="E39" s="7">
        <v>0</v>
      </c>
      <c r="F39" s="7">
        <v>12</v>
      </c>
      <c r="G39" s="7">
        <v>33</v>
      </c>
      <c r="H39" s="7">
        <v>0</v>
      </c>
      <c r="I39" s="7">
        <v>86</v>
      </c>
      <c r="J39" s="8">
        <v>156</v>
      </c>
    </row>
    <row r="40" spans="1:10" x14ac:dyDescent="0.3">
      <c r="A40" s="18" t="s">
        <v>48</v>
      </c>
      <c r="B40" s="19">
        <v>8</v>
      </c>
      <c r="C40" s="19">
        <v>8</v>
      </c>
      <c r="D40" s="19">
        <v>1</v>
      </c>
      <c r="E40" s="19">
        <v>2</v>
      </c>
      <c r="F40" s="19">
        <v>0</v>
      </c>
      <c r="G40" s="19">
        <v>3</v>
      </c>
      <c r="H40" s="19">
        <v>0</v>
      </c>
      <c r="I40" s="19">
        <v>0</v>
      </c>
      <c r="J40" s="20">
        <v>8</v>
      </c>
    </row>
    <row r="41" spans="1:10" x14ac:dyDescent="0.3">
      <c r="A41" s="21" t="s">
        <v>49</v>
      </c>
      <c r="B41" s="22">
        <v>136</v>
      </c>
      <c r="C41" s="22">
        <v>76</v>
      </c>
      <c r="D41" s="22">
        <v>7</v>
      </c>
      <c r="E41" s="22">
        <v>1</v>
      </c>
      <c r="F41" s="22">
        <v>2</v>
      </c>
      <c r="G41" s="22">
        <v>10</v>
      </c>
      <c r="H41" s="22">
        <v>0</v>
      </c>
      <c r="I41" s="22">
        <v>52</v>
      </c>
      <c r="J41" s="23">
        <v>84</v>
      </c>
    </row>
    <row r="42" spans="1:10" x14ac:dyDescent="0.3">
      <c r="A42" s="18" t="s">
        <v>50</v>
      </c>
      <c r="B42" s="19">
        <v>4</v>
      </c>
      <c r="C42" s="19">
        <v>4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1</v>
      </c>
      <c r="J42" s="20">
        <v>3</v>
      </c>
    </row>
    <row r="43" spans="1:10" x14ac:dyDescent="0.3">
      <c r="A43" s="21" t="s">
        <v>51</v>
      </c>
      <c r="B43" s="22">
        <v>8</v>
      </c>
      <c r="C43" s="22">
        <v>10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5</v>
      </c>
      <c r="J43" s="23">
        <v>3</v>
      </c>
    </row>
    <row r="44" spans="1:10" x14ac:dyDescent="0.3">
      <c r="A44" s="6" t="s">
        <v>52</v>
      </c>
      <c r="B44" s="7">
        <v>122</v>
      </c>
      <c r="C44" s="7">
        <v>63</v>
      </c>
      <c r="D44" s="7">
        <v>2</v>
      </c>
      <c r="E44" s="7">
        <v>0</v>
      </c>
      <c r="F44" s="7">
        <v>4</v>
      </c>
      <c r="G44" s="7">
        <v>6</v>
      </c>
      <c r="H44" s="7">
        <v>0</v>
      </c>
      <c r="I44" s="7">
        <v>36</v>
      </c>
      <c r="J44" s="8">
        <v>86</v>
      </c>
    </row>
    <row r="45" spans="1:10" x14ac:dyDescent="0.3">
      <c r="A45" s="9" t="s">
        <v>53</v>
      </c>
      <c r="B45" s="10">
        <v>864</v>
      </c>
      <c r="C45" s="10">
        <v>422</v>
      </c>
      <c r="D45" s="10">
        <v>8</v>
      </c>
      <c r="E45" s="10">
        <v>1</v>
      </c>
      <c r="F45" s="10">
        <v>12</v>
      </c>
      <c r="G45" s="10">
        <v>21</v>
      </c>
      <c r="H45" s="10">
        <v>1</v>
      </c>
      <c r="I45" s="10">
        <v>260</v>
      </c>
      <c r="J45" s="11">
        <v>604</v>
      </c>
    </row>
    <row r="46" spans="1:10" x14ac:dyDescent="0.3">
      <c r="A46" s="6" t="s">
        <v>54</v>
      </c>
      <c r="B46" s="7">
        <v>1038</v>
      </c>
      <c r="C46" s="7">
        <v>547</v>
      </c>
      <c r="D46" s="7">
        <v>0</v>
      </c>
      <c r="E46" s="7">
        <v>1</v>
      </c>
      <c r="F46" s="7">
        <v>15</v>
      </c>
      <c r="G46" s="7">
        <v>16</v>
      </c>
      <c r="H46" s="7">
        <v>1</v>
      </c>
      <c r="I46" s="7">
        <v>126</v>
      </c>
      <c r="J46" s="8">
        <v>912</v>
      </c>
    </row>
    <row r="47" spans="1:10" x14ac:dyDescent="0.3">
      <c r="A47" s="9" t="s">
        <v>55</v>
      </c>
      <c r="B47" s="10">
        <v>384</v>
      </c>
      <c r="C47" s="10">
        <v>164</v>
      </c>
      <c r="D47" s="10">
        <v>12</v>
      </c>
      <c r="E47" s="10">
        <v>1</v>
      </c>
      <c r="F47" s="10">
        <v>13</v>
      </c>
      <c r="G47" s="10">
        <v>26</v>
      </c>
      <c r="H47" s="10">
        <v>1</v>
      </c>
      <c r="I47" s="10">
        <v>90</v>
      </c>
      <c r="J47" s="11">
        <v>294</v>
      </c>
    </row>
    <row r="48" spans="1:10" x14ac:dyDescent="0.3">
      <c r="A48" s="6" t="s">
        <v>56</v>
      </c>
      <c r="B48" s="7">
        <v>558</v>
      </c>
      <c r="C48" s="7">
        <v>241</v>
      </c>
      <c r="D48" s="7">
        <v>28</v>
      </c>
      <c r="E48" s="7">
        <v>1</v>
      </c>
      <c r="F48" s="7">
        <v>27</v>
      </c>
      <c r="G48" s="7">
        <v>56</v>
      </c>
      <c r="H48" s="7">
        <v>0</v>
      </c>
      <c r="I48" s="7">
        <v>88</v>
      </c>
      <c r="J48" s="8">
        <v>470</v>
      </c>
    </row>
    <row r="49" spans="1:10" x14ac:dyDescent="0.3">
      <c r="A49" s="9" t="s">
        <v>57</v>
      </c>
      <c r="B49" s="10">
        <v>1628</v>
      </c>
      <c r="C49" s="10">
        <v>679</v>
      </c>
      <c r="D49" s="10">
        <v>62</v>
      </c>
      <c r="E49" s="10">
        <v>4</v>
      </c>
      <c r="F49" s="10">
        <v>39</v>
      </c>
      <c r="G49" s="10">
        <v>105</v>
      </c>
      <c r="H49" s="10">
        <v>9</v>
      </c>
      <c r="I49" s="10">
        <v>312</v>
      </c>
      <c r="J49" s="11">
        <v>1316</v>
      </c>
    </row>
    <row r="50" spans="1:10" x14ac:dyDescent="0.3">
      <c r="A50" s="6" t="s">
        <v>58</v>
      </c>
      <c r="B50" s="7">
        <v>212</v>
      </c>
      <c r="C50" s="7">
        <v>97</v>
      </c>
      <c r="D50" s="7">
        <v>21</v>
      </c>
      <c r="E50" s="7">
        <v>0</v>
      </c>
      <c r="F50" s="7">
        <v>1</v>
      </c>
      <c r="G50" s="7">
        <v>22</v>
      </c>
      <c r="H50" s="7">
        <v>0</v>
      </c>
      <c r="I50" s="7">
        <v>76</v>
      </c>
      <c r="J50" s="8">
        <v>136</v>
      </c>
    </row>
    <row r="51" spans="1:10" x14ac:dyDescent="0.3">
      <c r="A51" s="9" t="s">
        <v>59</v>
      </c>
      <c r="B51" s="10">
        <v>474</v>
      </c>
      <c r="C51" s="10">
        <v>214</v>
      </c>
      <c r="D51" s="10">
        <v>20</v>
      </c>
      <c r="E51" s="10">
        <v>5</v>
      </c>
      <c r="F51" s="10">
        <v>4</v>
      </c>
      <c r="G51" s="10">
        <v>29</v>
      </c>
      <c r="H51" s="10">
        <v>0</v>
      </c>
      <c r="I51" s="10">
        <v>114</v>
      </c>
      <c r="J51" s="11">
        <v>360</v>
      </c>
    </row>
    <row r="52" spans="1:10" x14ac:dyDescent="0.3">
      <c r="A52" s="6" t="s">
        <v>60</v>
      </c>
      <c r="B52" s="7">
        <v>158</v>
      </c>
      <c r="C52" s="7">
        <v>96</v>
      </c>
      <c r="D52" s="7">
        <v>2</v>
      </c>
      <c r="E52" s="7">
        <v>0</v>
      </c>
      <c r="F52" s="7">
        <v>1</v>
      </c>
      <c r="G52" s="7">
        <v>3</v>
      </c>
      <c r="H52" s="7">
        <v>0</v>
      </c>
      <c r="I52" s="7">
        <v>34</v>
      </c>
      <c r="J52" s="8">
        <v>124</v>
      </c>
    </row>
    <row r="53" spans="1:10" x14ac:dyDescent="0.3">
      <c r="A53" s="9" t="s">
        <v>61</v>
      </c>
      <c r="B53" s="10">
        <v>28</v>
      </c>
      <c r="C53" s="10">
        <v>21</v>
      </c>
      <c r="D53" s="10">
        <v>2</v>
      </c>
      <c r="E53" s="10">
        <v>0</v>
      </c>
      <c r="F53" s="10">
        <v>0</v>
      </c>
      <c r="G53" s="10">
        <v>2</v>
      </c>
      <c r="H53" s="10">
        <v>0</v>
      </c>
      <c r="I53" s="10">
        <v>10</v>
      </c>
      <c r="J53" s="11">
        <v>18</v>
      </c>
    </row>
    <row r="54" spans="1:10" x14ac:dyDescent="0.3">
      <c r="A54" s="6" t="s">
        <v>62</v>
      </c>
      <c r="B54" s="7">
        <v>854</v>
      </c>
      <c r="C54" s="7">
        <v>424</v>
      </c>
      <c r="D54" s="7">
        <v>7</v>
      </c>
      <c r="E54" s="7">
        <v>1</v>
      </c>
      <c r="F54" s="7">
        <v>8</v>
      </c>
      <c r="G54" s="7">
        <v>16</v>
      </c>
      <c r="H54" s="7">
        <v>1</v>
      </c>
      <c r="I54" s="7">
        <v>280</v>
      </c>
      <c r="J54" s="8">
        <v>574</v>
      </c>
    </row>
    <row r="55" spans="1:10" x14ac:dyDescent="0.3">
      <c r="A55" s="30" t="s">
        <v>63</v>
      </c>
      <c r="B55" s="31">
        <f>SUM(B12,B13,B14,B15)</f>
        <v>532</v>
      </c>
      <c r="C55" s="31">
        <f t="shared" ref="C55:J55" si="0">SUM(C12,C13,C14,C15)</f>
        <v>278</v>
      </c>
      <c r="D55" s="31">
        <f t="shared" si="0"/>
        <v>7</v>
      </c>
      <c r="E55" s="31">
        <f t="shared" si="0"/>
        <v>3</v>
      </c>
      <c r="F55" s="31">
        <f t="shared" si="0"/>
        <v>23</v>
      </c>
      <c r="G55" s="31">
        <f t="shared" si="0"/>
        <v>33</v>
      </c>
      <c r="H55" s="31">
        <f t="shared" si="0"/>
        <v>0</v>
      </c>
      <c r="I55" s="31">
        <f t="shared" si="0"/>
        <v>286</v>
      </c>
      <c r="J55" s="32">
        <f t="shared" si="0"/>
        <v>246</v>
      </c>
    </row>
    <row r="56" spans="1:10" x14ac:dyDescent="0.3">
      <c r="A56" s="27" t="s">
        <v>64</v>
      </c>
      <c r="B56" s="28">
        <f>SUM(B40,B41,B42,B43)</f>
        <v>156</v>
      </c>
      <c r="C56" s="28">
        <f t="shared" ref="C56:J56" si="1">SUM(C40,C41,C42,C43)</f>
        <v>98</v>
      </c>
      <c r="D56" s="28">
        <f t="shared" si="1"/>
        <v>8</v>
      </c>
      <c r="E56" s="28">
        <f t="shared" si="1"/>
        <v>3</v>
      </c>
      <c r="F56" s="28">
        <f t="shared" si="1"/>
        <v>2</v>
      </c>
      <c r="G56" s="28">
        <f t="shared" si="1"/>
        <v>13</v>
      </c>
      <c r="H56" s="28">
        <f t="shared" si="1"/>
        <v>0</v>
      </c>
      <c r="I56" s="28">
        <f t="shared" si="1"/>
        <v>58</v>
      </c>
      <c r="J56" s="29">
        <f t="shared" si="1"/>
        <v>98</v>
      </c>
    </row>
    <row r="57" spans="1:10" x14ac:dyDescent="0.3">
      <c r="A57" s="24" t="s">
        <v>65</v>
      </c>
      <c r="B57" s="25">
        <f>SUM(B2:B54)</f>
        <v>33712</v>
      </c>
      <c r="C57" s="25">
        <f t="shared" ref="C57:J57" si="2">SUM(C2:C54)</f>
        <v>14865</v>
      </c>
      <c r="D57" s="25">
        <f t="shared" si="2"/>
        <v>1693</v>
      </c>
      <c r="E57" s="25">
        <f t="shared" si="2"/>
        <v>99</v>
      </c>
      <c r="F57" s="25">
        <f t="shared" si="2"/>
        <v>870</v>
      </c>
      <c r="G57" s="25">
        <f t="shared" si="2"/>
        <v>2662</v>
      </c>
      <c r="H57" s="25">
        <f t="shared" si="2"/>
        <v>79</v>
      </c>
      <c r="I57" s="25">
        <f t="shared" si="2"/>
        <v>8575</v>
      </c>
      <c r="J57" s="26">
        <f t="shared" si="2"/>
        <v>25137</v>
      </c>
    </row>
  </sheetData>
  <autoFilter ref="A1:J57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style="1" customWidth="1"/>
    <col min="2" max="10" width="15.6640625" customWidth="1"/>
  </cols>
  <sheetData>
    <row r="1" spans="1:10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>
        <v>2312</v>
      </c>
      <c r="C2" s="4">
        <v>1009</v>
      </c>
      <c r="D2" s="4">
        <v>93</v>
      </c>
      <c r="E2" s="4">
        <v>6</v>
      </c>
      <c r="F2" s="4">
        <v>43</v>
      </c>
      <c r="G2" s="4">
        <v>142</v>
      </c>
      <c r="H2" s="4">
        <v>11</v>
      </c>
      <c r="I2" s="4">
        <v>346</v>
      </c>
      <c r="J2" s="5">
        <v>1966</v>
      </c>
    </row>
    <row r="3" spans="1:10" x14ac:dyDescent="0.3">
      <c r="A3" s="6" t="s">
        <v>11</v>
      </c>
      <c r="B3" s="7">
        <v>1210</v>
      </c>
      <c r="C3" s="7">
        <v>416</v>
      </c>
      <c r="D3" s="7">
        <v>45</v>
      </c>
      <c r="E3" s="7">
        <v>10</v>
      </c>
      <c r="F3" s="7">
        <v>25</v>
      </c>
      <c r="G3" s="7">
        <v>80</v>
      </c>
      <c r="H3" s="7">
        <v>2</v>
      </c>
      <c r="I3" s="7">
        <v>154</v>
      </c>
      <c r="J3" s="8">
        <v>1056</v>
      </c>
    </row>
    <row r="4" spans="1:10" x14ac:dyDescent="0.3">
      <c r="A4" s="9" t="s">
        <v>12</v>
      </c>
      <c r="B4" s="10">
        <v>1232</v>
      </c>
      <c r="C4" s="10">
        <v>952</v>
      </c>
      <c r="D4" s="10">
        <v>100</v>
      </c>
      <c r="E4" s="10">
        <v>16</v>
      </c>
      <c r="F4" s="10">
        <v>83</v>
      </c>
      <c r="G4" s="10">
        <v>199</v>
      </c>
      <c r="H4" s="10">
        <v>1</v>
      </c>
      <c r="I4" s="10">
        <v>216</v>
      </c>
      <c r="J4" s="11">
        <v>1016</v>
      </c>
    </row>
    <row r="5" spans="1:10" x14ac:dyDescent="0.3">
      <c r="A5" s="6" t="s">
        <v>13</v>
      </c>
      <c r="B5" s="7">
        <v>26</v>
      </c>
      <c r="C5" s="7">
        <v>13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10</v>
      </c>
      <c r="J5" s="8">
        <v>16</v>
      </c>
    </row>
    <row r="6" spans="1:10" x14ac:dyDescent="0.3">
      <c r="A6" s="9" t="s">
        <v>14</v>
      </c>
      <c r="B6" s="10">
        <v>1302</v>
      </c>
      <c r="C6" s="10">
        <v>954</v>
      </c>
      <c r="D6" s="10">
        <v>287</v>
      </c>
      <c r="E6" s="10">
        <v>5</v>
      </c>
      <c r="F6" s="10">
        <v>104</v>
      </c>
      <c r="G6" s="10">
        <v>396</v>
      </c>
      <c r="H6" s="10">
        <v>16</v>
      </c>
      <c r="I6" s="10">
        <v>362</v>
      </c>
      <c r="J6" s="11">
        <v>940</v>
      </c>
    </row>
    <row r="7" spans="1:10" x14ac:dyDescent="0.3">
      <c r="A7" s="6" t="s">
        <v>15</v>
      </c>
      <c r="B7" s="7">
        <v>418</v>
      </c>
      <c r="C7" s="7">
        <v>202</v>
      </c>
      <c r="D7" s="7">
        <v>2</v>
      </c>
      <c r="E7" s="7">
        <v>0</v>
      </c>
      <c r="F7" s="7">
        <v>1</v>
      </c>
      <c r="G7" s="7">
        <v>3</v>
      </c>
      <c r="H7" s="7">
        <v>0</v>
      </c>
      <c r="I7" s="7">
        <v>196</v>
      </c>
      <c r="J7" s="8">
        <v>222</v>
      </c>
    </row>
    <row r="8" spans="1:10" x14ac:dyDescent="0.3">
      <c r="A8" s="9" t="s">
        <v>16</v>
      </c>
      <c r="B8" s="10">
        <v>220</v>
      </c>
      <c r="C8" s="10">
        <v>75</v>
      </c>
      <c r="D8" s="10">
        <v>1</v>
      </c>
      <c r="E8" s="10">
        <v>1</v>
      </c>
      <c r="F8" s="10">
        <v>3</v>
      </c>
      <c r="G8" s="10">
        <v>5</v>
      </c>
      <c r="H8" s="10">
        <v>0</v>
      </c>
      <c r="I8" s="10">
        <v>36</v>
      </c>
      <c r="J8" s="11">
        <v>184</v>
      </c>
    </row>
    <row r="9" spans="1:10" x14ac:dyDescent="0.3">
      <c r="A9" s="6" t="s">
        <v>17</v>
      </c>
      <c r="B9" s="7">
        <v>124</v>
      </c>
      <c r="C9" s="7">
        <v>47</v>
      </c>
      <c r="D9" s="7">
        <v>1</v>
      </c>
      <c r="E9" s="7">
        <v>0</v>
      </c>
      <c r="F9" s="7">
        <v>1</v>
      </c>
      <c r="G9" s="7">
        <v>2</v>
      </c>
      <c r="H9" s="7">
        <v>0</v>
      </c>
      <c r="I9" s="7">
        <v>32</v>
      </c>
      <c r="J9" s="8">
        <v>92</v>
      </c>
    </row>
    <row r="10" spans="1:10" x14ac:dyDescent="0.3">
      <c r="A10" s="9" t="s">
        <v>18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1">
        <v>0</v>
      </c>
    </row>
    <row r="11" spans="1:10" x14ac:dyDescent="0.3">
      <c r="A11" s="6" t="s">
        <v>19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8">
        <v>0</v>
      </c>
    </row>
    <row r="12" spans="1:10" x14ac:dyDescent="0.3">
      <c r="A12" s="12" t="s">
        <v>20</v>
      </c>
      <c r="B12" s="13">
        <v>3</v>
      </c>
      <c r="C12" s="13">
        <v>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3</v>
      </c>
      <c r="J12" s="14">
        <v>0</v>
      </c>
    </row>
    <row r="13" spans="1:10" x14ac:dyDescent="0.3">
      <c r="A13" s="15" t="s">
        <v>21</v>
      </c>
      <c r="B13" s="16">
        <v>116</v>
      </c>
      <c r="C13" s="16">
        <v>50</v>
      </c>
      <c r="D13" s="16">
        <v>6</v>
      </c>
      <c r="E13" s="16">
        <v>2</v>
      </c>
      <c r="F13" s="16">
        <v>4</v>
      </c>
      <c r="G13" s="16">
        <v>12</v>
      </c>
      <c r="H13" s="16">
        <v>0</v>
      </c>
      <c r="I13" s="16">
        <v>66</v>
      </c>
      <c r="J13" s="17">
        <v>50</v>
      </c>
    </row>
    <row r="14" spans="1:10" x14ac:dyDescent="0.3">
      <c r="A14" s="12" t="s">
        <v>22</v>
      </c>
      <c r="B14" s="13">
        <v>302</v>
      </c>
      <c r="C14" s="13">
        <v>122</v>
      </c>
      <c r="D14" s="13">
        <v>5</v>
      </c>
      <c r="E14" s="13">
        <v>0</v>
      </c>
      <c r="F14" s="13">
        <v>20</v>
      </c>
      <c r="G14" s="13">
        <v>25</v>
      </c>
      <c r="H14" s="13">
        <v>0</v>
      </c>
      <c r="I14" s="13">
        <v>152</v>
      </c>
      <c r="J14" s="14">
        <v>150</v>
      </c>
    </row>
    <row r="15" spans="1:10" x14ac:dyDescent="0.3">
      <c r="A15" s="15" t="s">
        <v>23</v>
      </c>
      <c r="B15" s="16">
        <v>138</v>
      </c>
      <c r="C15" s="16">
        <v>41</v>
      </c>
      <c r="D15" s="16">
        <v>7</v>
      </c>
      <c r="E15" s="16">
        <v>0</v>
      </c>
      <c r="F15" s="16">
        <v>0</v>
      </c>
      <c r="G15" s="16">
        <v>7</v>
      </c>
      <c r="H15" s="16">
        <v>0</v>
      </c>
      <c r="I15" s="16">
        <v>56</v>
      </c>
      <c r="J15" s="17">
        <v>82</v>
      </c>
    </row>
    <row r="16" spans="1:10" x14ac:dyDescent="0.3">
      <c r="A16" s="9" t="s">
        <v>24</v>
      </c>
      <c r="B16" s="10">
        <v>96</v>
      </c>
      <c r="C16" s="10">
        <v>48</v>
      </c>
      <c r="D16" s="10">
        <v>1</v>
      </c>
      <c r="E16" s="10">
        <v>1</v>
      </c>
      <c r="F16" s="10">
        <v>3</v>
      </c>
      <c r="G16" s="10">
        <v>5</v>
      </c>
      <c r="H16" s="10">
        <v>0</v>
      </c>
      <c r="I16" s="10">
        <v>46</v>
      </c>
      <c r="J16" s="11">
        <v>50</v>
      </c>
    </row>
    <row r="17" spans="1:10" x14ac:dyDescent="0.3">
      <c r="A17" s="6" t="s">
        <v>25</v>
      </c>
      <c r="B17" s="7">
        <v>1158</v>
      </c>
      <c r="C17" s="7">
        <v>429</v>
      </c>
      <c r="D17" s="7">
        <v>71</v>
      </c>
      <c r="E17" s="7">
        <v>5</v>
      </c>
      <c r="F17" s="7">
        <v>22</v>
      </c>
      <c r="G17" s="7">
        <v>98</v>
      </c>
      <c r="H17" s="7">
        <v>1</v>
      </c>
      <c r="I17" s="7">
        <v>338</v>
      </c>
      <c r="J17" s="8">
        <v>820</v>
      </c>
    </row>
    <row r="18" spans="1:10" x14ac:dyDescent="0.3">
      <c r="A18" s="9" t="s">
        <v>26</v>
      </c>
      <c r="B18" s="10">
        <v>134</v>
      </c>
      <c r="C18" s="10">
        <v>44</v>
      </c>
      <c r="D18" s="10">
        <v>0</v>
      </c>
      <c r="E18" s="10">
        <v>1</v>
      </c>
      <c r="F18" s="10">
        <v>3</v>
      </c>
      <c r="G18" s="10">
        <v>4</v>
      </c>
      <c r="H18" s="10">
        <v>0</v>
      </c>
      <c r="I18" s="10">
        <v>40</v>
      </c>
      <c r="J18" s="11">
        <v>94</v>
      </c>
    </row>
    <row r="19" spans="1:10" x14ac:dyDescent="0.3">
      <c r="A19" s="6" t="s">
        <v>27</v>
      </c>
      <c r="B19" s="7">
        <v>656</v>
      </c>
      <c r="C19" s="7">
        <v>291</v>
      </c>
      <c r="D19" s="7">
        <v>28</v>
      </c>
      <c r="E19" s="7">
        <v>5</v>
      </c>
      <c r="F19" s="7">
        <v>19</v>
      </c>
      <c r="G19" s="7">
        <v>52</v>
      </c>
      <c r="H19" s="7">
        <v>1</v>
      </c>
      <c r="I19" s="7">
        <v>244</v>
      </c>
      <c r="J19" s="8">
        <v>412</v>
      </c>
    </row>
    <row r="20" spans="1:10" x14ac:dyDescent="0.3">
      <c r="A20" s="9" t="s">
        <v>28</v>
      </c>
      <c r="B20" s="10">
        <v>1</v>
      </c>
      <c r="C20" s="10">
        <v>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1">
        <v>1</v>
      </c>
    </row>
    <row r="21" spans="1:10" x14ac:dyDescent="0.3">
      <c r="A21" s="6" t="s">
        <v>29</v>
      </c>
      <c r="B21" s="7">
        <v>1012</v>
      </c>
      <c r="C21" s="7">
        <v>387</v>
      </c>
      <c r="D21" s="7">
        <v>30</v>
      </c>
      <c r="E21" s="7">
        <v>4</v>
      </c>
      <c r="F21" s="7">
        <v>9</v>
      </c>
      <c r="G21" s="7">
        <v>43</v>
      </c>
      <c r="H21" s="7">
        <v>0</v>
      </c>
      <c r="I21" s="7">
        <v>282</v>
      </c>
      <c r="J21" s="8">
        <v>730</v>
      </c>
    </row>
    <row r="22" spans="1:10" x14ac:dyDescent="0.3">
      <c r="A22" s="9" t="s">
        <v>30</v>
      </c>
      <c r="B22" s="10">
        <v>110</v>
      </c>
      <c r="C22" s="10">
        <v>62</v>
      </c>
      <c r="D22" s="10">
        <v>1</v>
      </c>
      <c r="E22" s="10">
        <v>0</v>
      </c>
      <c r="F22" s="10">
        <v>1</v>
      </c>
      <c r="G22" s="10">
        <v>2</v>
      </c>
      <c r="H22" s="10">
        <v>0</v>
      </c>
      <c r="I22" s="10">
        <v>46</v>
      </c>
      <c r="J22" s="11">
        <v>64</v>
      </c>
    </row>
    <row r="23" spans="1:10" x14ac:dyDescent="0.3">
      <c r="A23" s="6" t="s">
        <v>31</v>
      </c>
      <c r="B23" s="7">
        <v>668</v>
      </c>
      <c r="C23" s="7">
        <v>215</v>
      </c>
      <c r="D23" s="7">
        <v>100</v>
      </c>
      <c r="E23" s="7">
        <v>5</v>
      </c>
      <c r="F23" s="7">
        <v>20</v>
      </c>
      <c r="G23" s="7">
        <v>125</v>
      </c>
      <c r="H23" s="7">
        <v>2</v>
      </c>
      <c r="I23" s="7">
        <v>104</v>
      </c>
      <c r="J23" s="8">
        <v>564</v>
      </c>
    </row>
    <row r="24" spans="1:10" x14ac:dyDescent="0.3">
      <c r="A24" s="9" t="s">
        <v>32</v>
      </c>
      <c r="B24" s="10">
        <v>4338</v>
      </c>
      <c r="C24" s="10">
        <v>1685</v>
      </c>
      <c r="D24" s="10">
        <v>170</v>
      </c>
      <c r="E24" s="10">
        <v>9</v>
      </c>
      <c r="F24" s="10">
        <v>164</v>
      </c>
      <c r="G24" s="10">
        <v>343</v>
      </c>
      <c r="H24" s="10">
        <v>8</v>
      </c>
      <c r="I24" s="10">
        <v>544</v>
      </c>
      <c r="J24" s="11">
        <v>3794</v>
      </c>
    </row>
    <row r="25" spans="1:10" x14ac:dyDescent="0.3">
      <c r="A25" s="6" t="s">
        <v>33</v>
      </c>
      <c r="B25" s="7">
        <v>188</v>
      </c>
      <c r="C25" s="7">
        <v>90</v>
      </c>
      <c r="D25" s="7">
        <v>8</v>
      </c>
      <c r="E25" s="7">
        <v>0</v>
      </c>
      <c r="F25" s="7">
        <v>7</v>
      </c>
      <c r="G25" s="7">
        <v>15</v>
      </c>
      <c r="H25" s="7">
        <v>1</v>
      </c>
      <c r="I25" s="7">
        <v>78</v>
      </c>
      <c r="J25" s="8">
        <v>110</v>
      </c>
    </row>
    <row r="26" spans="1:10" x14ac:dyDescent="0.3">
      <c r="A26" s="9" t="s">
        <v>34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1">
        <v>0</v>
      </c>
    </row>
    <row r="27" spans="1:10" x14ac:dyDescent="0.3">
      <c r="A27" s="6" t="s">
        <v>35</v>
      </c>
      <c r="B27" s="7">
        <v>458</v>
      </c>
      <c r="C27" s="7">
        <v>199</v>
      </c>
      <c r="D27" s="7">
        <v>3</v>
      </c>
      <c r="E27" s="7">
        <v>1</v>
      </c>
      <c r="F27" s="7">
        <v>7</v>
      </c>
      <c r="G27" s="7">
        <v>11</v>
      </c>
      <c r="H27" s="7">
        <v>1</v>
      </c>
      <c r="I27" s="7">
        <v>96</v>
      </c>
      <c r="J27" s="8">
        <v>362</v>
      </c>
    </row>
    <row r="28" spans="1:10" x14ac:dyDescent="0.3">
      <c r="A28" s="9" t="s">
        <v>36</v>
      </c>
      <c r="B28" s="10">
        <v>278</v>
      </c>
      <c r="C28" s="10">
        <v>102</v>
      </c>
      <c r="D28" s="10">
        <v>12</v>
      </c>
      <c r="E28" s="10">
        <v>0</v>
      </c>
      <c r="F28" s="10">
        <v>7</v>
      </c>
      <c r="G28" s="10">
        <v>19</v>
      </c>
      <c r="H28" s="10">
        <v>0</v>
      </c>
      <c r="I28" s="10">
        <v>94</v>
      </c>
      <c r="J28" s="11">
        <v>184</v>
      </c>
    </row>
    <row r="29" spans="1:10" x14ac:dyDescent="0.3">
      <c r="A29" s="6" t="s">
        <v>37</v>
      </c>
      <c r="B29" s="7">
        <v>1358</v>
      </c>
      <c r="C29" s="7">
        <v>545</v>
      </c>
      <c r="D29" s="7">
        <v>3</v>
      </c>
      <c r="E29" s="7">
        <v>4</v>
      </c>
      <c r="F29" s="7">
        <v>56</v>
      </c>
      <c r="G29" s="7">
        <v>63</v>
      </c>
      <c r="H29" s="7">
        <v>0</v>
      </c>
      <c r="I29" s="7">
        <v>270</v>
      </c>
      <c r="J29" s="8">
        <v>1088</v>
      </c>
    </row>
    <row r="30" spans="1:10" x14ac:dyDescent="0.3">
      <c r="A30" s="9" t="s">
        <v>38</v>
      </c>
      <c r="B30" s="10">
        <v>60</v>
      </c>
      <c r="C30" s="10">
        <v>22</v>
      </c>
      <c r="D30" s="10">
        <v>0</v>
      </c>
      <c r="E30" s="10">
        <v>1</v>
      </c>
      <c r="F30" s="10">
        <v>3</v>
      </c>
      <c r="G30" s="10">
        <v>4</v>
      </c>
      <c r="H30" s="10">
        <v>0</v>
      </c>
      <c r="I30" s="10">
        <v>22</v>
      </c>
      <c r="J30" s="11">
        <v>38</v>
      </c>
    </row>
    <row r="31" spans="1:10" x14ac:dyDescent="0.3">
      <c r="A31" s="6" t="s">
        <v>39</v>
      </c>
      <c r="B31" s="7">
        <v>224</v>
      </c>
      <c r="C31" s="7">
        <v>72</v>
      </c>
      <c r="D31" s="7">
        <v>2</v>
      </c>
      <c r="E31" s="7">
        <v>5</v>
      </c>
      <c r="F31" s="7">
        <v>2</v>
      </c>
      <c r="G31" s="7">
        <v>9</v>
      </c>
      <c r="H31" s="7">
        <v>1</v>
      </c>
      <c r="I31" s="7">
        <v>22</v>
      </c>
      <c r="J31" s="8">
        <v>202</v>
      </c>
    </row>
    <row r="32" spans="1:10" x14ac:dyDescent="0.3">
      <c r="A32" s="9" t="s">
        <v>40</v>
      </c>
      <c r="B32" s="10">
        <v>924</v>
      </c>
      <c r="C32" s="10">
        <v>309</v>
      </c>
      <c r="D32" s="10">
        <v>99</v>
      </c>
      <c r="E32" s="10">
        <v>2</v>
      </c>
      <c r="F32" s="10">
        <v>49</v>
      </c>
      <c r="G32" s="10">
        <v>150</v>
      </c>
      <c r="H32" s="10">
        <v>15</v>
      </c>
      <c r="I32" s="10">
        <v>338</v>
      </c>
      <c r="J32" s="11">
        <v>586</v>
      </c>
    </row>
    <row r="33" spans="1:10" x14ac:dyDescent="0.3">
      <c r="A33" s="6" t="s">
        <v>41</v>
      </c>
      <c r="B33" s="7">
        <v>802</v>
      </c>
      <c r="C33" s="7">
        <v>329</v>
      </c>
      <c r="D33" s="7">
        <v>8</v>
      </c>
      <c r="E33" s="7">
        <v>1</v>
      </c>
      <c r="F33" s="7">
        <v>47</v>
      </c>
      <c r="G33" s="7">
        <v>56</v>
      </c>
      <c r="H33" s="7">
        <v>30</v>
      </c>
      <c r="I33" s="7">
        <v>394</v>
      </c>
      <c r="J33" s="8">
        <v>408</v>
      </c>
    </row>
    <row r="34" spans="1:10" x14ac:dyDescent="0.3">
      <c r="A34" s="9" t="s">
        <v>42</v>
      </c>
      <c r="B34" s="10">
        <v>210</v>
      </c>
      <c r="C34" s="10">
        <v>89</v>
      </c>
      <c r="D34" s="10">
        <v>2</v>
      </c>
      <c r="E34" s="10">
        <v>1</v>
      </c>
      <c r="F34" s="10">
        <v>3</v>
      </c>
      <c r="G34" s="10">
        <v>6</v>
      </c>
      <c r="H34" s="10">
        <v>0</v>
      </c>
      <c r="I34" s="10">
        <v>104</v>
      </c>
      <c r="J34" s="11">
        <v>106</v>
      </c>
    </row>
    <row r="35" spans="1:10" x14ac:dyDescent="0.3">
      <c r="A35" s="6" t="s">
        <v>43</v>
      </c>
      <c r="B35" s="7">
        <v>2916</v>
      </c>
      <c r="C35" s="7">
        <v>1129</v>
      </c>
      <c r="D35" s="7">
        <v>217</v>
      </c>
      <c r="E35" s="7">
        <v>2</v>
      </c>
      <c r="F35" s="7">
        <v>73</v>
      </c>
      <c r="G35" s="7">
        <v>292</v>
      </c>
      <c r="H35" s="7">
        <v>4</v>
      </c>
      <c r="I35" s="7">
        <v>502</v>
      </c>
      <c r="J35" s="8">
        <v>2414</v>
      </c>
    </row>
    <row r="36" spans="1:10" x14ac:dyDescent="0.3">
      <c r="A36" s="9" t="s">
        <v>44</v>
      </c>
      <c r="B36" s="10">
        <v>306</v>
      </c>
      <c r="C36" s="10">
        <v>127</v>
      </c>
      <c r="D36" s="10">
        <v>13</v>
      </c>
      <c r="E36" s="10">
        <v>2</v>
      </c>
      <c r="F36" s="10">
        <v>9</v>
      </c>
      <c r="G36" s="10">
        <v>24</v>
      </c>
      <c r="H36" s="10">
        <v>0</v>
      </c>
      <c r="I36" s="10">
        <v>108</v>
      </c>
      <c r="J36" s="11">
        <v>198</v>
      </c>
    </row>
    <row r="37" spans="1:10" x14ac:dyDescent="0.3">
      <c r="A37" s="6" t="s">
        <v>45</v>
      </c>
      <c r="B37" s="7">
        <v>1042</v>
      </c>
      <c r="C37" s="7">
        <v>376</v>
      </c>
      <c r="D37" s="7">
        <v>94</v>
      </c>
      <c r="E37" s="7">
        <v>2</v>
      </c>
      <c r="F37" s="7">
        <v>13</v>
      </c>
      <c r="G37" s="7">
        <v>109</v>
      </c>
      <c r="H37" s="7">
        <v>0</v>
      </c>
      <c r="I37" s="7">
        <v>208</v>
      </c>
      <c r="J37" s="8">
        <v>834</v>
      </c>
    </row>
    <row r="38" spans="1:10" x14ac:dyDescent="0.3">
      <c r="A38" s="9" t="s">
        <v>46</v>
      </c>
      <c r="B38" s="10">
        <v>24</v>
      </c>
      <c r="C38" s="10">
        <v>29</v>
      </c>
      <c r="D38" s="10">
        <v>0</v>
      </c>
      <c r="E38" s="10">
        <v>1</v>
      </c>
      <c r="F38" s="10">
        <v>0</v>
      </c>
      <c r="G38" s="10">
        <v>1</v>
      </c>
      <c r="H38" s="10">
        <v>0</v>
      </c>
      <c r="I38" s="10">
        <v>16</v>
      </c>
      <c r="J38" s="11">
        <v>8</v>
      </c>
    </row>
    <row r="39" spans="1:10" x14ac:dyDescent="0.3">
      <c r="A39" s="6" t="s">
        <v>47</v>
      </c>
      <c r="B39" s="7">
        <v>162</v>
      </c>
      <c r="C39" s="7">
        <v>72</v>
      </c>
      <c r="D39" s="7">
        <v>30</v>
      </c>
      <c r="E39" s="7">
        <v>0</v>
      </c>
      <c r="F39" s="7">
        <v>1</v>
      </c>
      <c r="G39" s="7">
        <v>31</v>
      </c>
      <c r="H39" s="7">
        <v>0</v>
      </c>
      <c r="I39" s="7">
        <v>74</v>
      </c>
      <c r="J39" s="8">
        <v>88</v>
      </c>
    </row>
    <row r="40" spans="1:10" x14ac:dyDescent="0.3">
      <c r="A40" s="18" t="s">
        <v>48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20">
        <v>0</v>
      </c>
    </row>
    <row r="41" spans="1:10" x14ac:dyDescent="0.3">
      <c r="A41" s="21" t="s">
        <v>49</v>
      </c>
      <c r="B41" s="22">
        <v>0</v>
      </c>
      <c r="C41" s="22">
        <v>2</v>
      </c>
      <c r="D41" s="22">
        <v>10</v>
      </c>
      <c r="E41" s="22">
        <v>1</v>
      </c>
      <c r="F41" s="22">
        <v>0</v>
      </c>
      <c r="G41" s="22">
        <v>11</v>
      </c>
      <c r="H41" s="22">
        <v>0</v>
      </c>
      <c r="I41" s="22">
        <v>0</v>
      </c>
      <c r="J41" s="23">
        <v>0</v>
      </c>
    </row>
    <row r="42" spans="1:10" x14ac:dyDescent="0.3">
      <c r="A42" s="18" t="s">
        <v>50</v>
      </c>
      <c r="B42" s="19">
        <v>1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20">
        <v>1</v>
      </c>
    </row>
    <row r="43" spans="1:10" x14ac:dyDescent="0.3">
      <c r="A43" s="21" t="s">
        <v>51</v>
      </c>
      <c r="B43" s="22">
        <v>0</v>
      </c>
      <c r="C43" s="22">
        <v>0</v>
      </c>
      <c r="D43" s="22">
        <v>1</v>
      </c>
      <c r="E43" s="22">
        <v>0</v>
      </c>
      <c r="F43" s="22">
        <v>0</v>
      </c>
      <c r="G43" s="22">
        <v>1</v>
      </c>
      <c r="H43" s="22">
        <v>0</v>
      </c>
      <c r="I43" s="22">
        <v>0</v>
      </c>
      <c r="J43" s="23">
        <v>0</v>
      </c>
    </row>
    <row r="44" spans="1:10" x14ac:dyDescent="0.3">
      <c r="A44" s="6" t="s">
        <v>52</v>
      </c>
      <c r="B44" s="7">
        <v>100</v>
      </c>
      <c r="C44" s="7">
        <v>47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50</v>
      </c>
      <c r="J44" s="8">
        <v>50</v>
      </c>
    </row>
    <row r="45" spans="1:10" x14ac:dyDescent="0.3">
      <c r="A45" s="9" t="s">
        <v>53</v>
      </c>
      <c r="B45" s="10">
        <v>830</v>
      </c>
      <c r="C45" s="10">
        <v>389</v>
      </c>
      <c r="D45" s="10">
        <v>55</v>
      </c>
      <c r="E45" s="10">
        <v>1</v>
      </c>
      <c r="F45" s="10">
        <v>11</v>
      </c>
      <c r="G45" s="10">
        <v>67</v>
      </c>
      <c r="H45" s="10">
        <v>0</v>
      </c>
      <c r="I45" s="10">
        <v>196</v>
      </c>
      <c r="J45" s="11">
        <v>634</v>
      </c>
    </row>
    <row r="46" spans="1:10" x14ac:dyDescent="0.3">
      <c r="A46" s="6" t="s">
        <v>54</v>
      </c>
      <c r="B46" s="7">
        <v>1264</v>
      </c>
      <c r="C46" s="7">
        <v>549</v>
      </c>
      <c r="D46" s="7">
        <v>0</v>
      </c>
      <c r="E46" s="7">
        <v>6</v>
      </c>
      <c r="F46" s="7">
        <v>14</v>
      </c>
      <c r="G46" s="7">
        <v>20</v>
      </c>
      <c r="H46" s="7">
        <v>1</v>
      </c>
      <c r="I46" s="7">
        <v>168</v>
      </c>
      <c r="J46" s="8">
        <v>1096</v>
      </c>
    </row>
    <row r="47" spans="1:10" x14ac:dyDescent="0.3">
      <c r="A47" s="9" t="s">
        <v>55</v>
      </c>
      <c r="B47" s="10">
        <v>474</v>
      </c>
      <c r="C47" s="10">
        <v>164</v>
      </c>
      <c r="D47" s="10">
        <v>14</v>
      </c>
      <c r="E47" s="10">
        <v>2</v>
      </c>
      <c r="F47" s="10">
        <v>9</v>
      </c>
      <c r="G47" s="10">
        <v>25</v>
      </c>
      <c r="H47" s="10">
        <v>0</v>
      </c>
      <c r="I47" s="10">
        <v>98</v>
      </c>
      <c r="J47" s="11">
        <v>376</v>
      </c>
    </row>
    <row r="48" spans="1:10" x14ac:dyDescent="0.3">
      <c r="A48" s="6" t="s">
        <v>56</v>
      </c>
      <c r="B48" s="7">
        <v>406</v>
      </c>
      <c r="C48" s="7">
        <v>197</v>
      </c>
      <c r="D48" s="7">
        <v>13</v>
      </c>
      <c r="E48" s="7">
        <v>2</v>
      </c>
      <c r="F48" s="7">
        <v>5</v>
      </c>
      <c r="G48" s="7">
        <v>20</v>
      </c>
      <c r="H48" s="7">
        <v>0</v>
      </c>
      <c r="I48" s="7">
        <v>98</v>
      </c>
      <c r="J48" s="8">
        <v>308</v>
      </c>
    </row>
    <row r="49" spans="1:10" x14ac:dyDescent="0.3">
      <c r="A49" s="9" t="s">
        <v>57</v>
      </c>
      <c r="B49" s="10">
        <v>1914</v>
      </c>
      <c r="C49" s="10">
        <v>790</v>
      </c>
      <c r="D49" s="10">
        <v>61</v>
      </c>
      <c r="E49" s="10">
        <v>6</v>
      </c>
      <c r="F49" s="10">
        <v>36</v>
      </c>
      <c r="G49" s="10">
        <v>103</v>
      </c>
      <c r="H49" s="10">
        <v>17</v>
      </c>
      <c r="I49" s="10">
        <v>398</v>
      </c>
      <c r="J49" s="11">
        <v>1516</v>
      </c>
    </row>
    <row r="50" spans="1:10" x14ac:dyDescent="0.3">
      <c r="A50" s="6" t="s">
        <v>58</v>
      </c>
      <c r="B50" s="7">
        <v>168</v>
      </c>
      <c r="C50" s="7">
        <v>79</v>
      </c>
      <c r="D50" s="7">
        <v>15</v>
      </c>
      <c r="E50" s="7">
        <v>1</v>
      </c>
      <c r="F50" s="7">
        <v>1</v>
      </c>
      <c r="G50" s="7">
        <v>17</v>
      </c>
      <c r="H50" s="7">
        <v>0</v>
      </c>
      <c r="I50" s="7">
        <v>60</v>
      </c>
      <c r="J50" s="8">
        <v>108</v>
      </c>
    </row>
    <row r="51" spans="1:10" x14ac:dyDescent="0.3">
      <c r="A51" s="9" t="s">
        <v>59</v>
      </c>
      <c r="B51" s="10">
        <v>536</v>
      </c>
      <c r="C51" s="10">
        <v>199</v>
      </c>
      <c r="D51" s="10">
        <v>21</v>
      </c>
      <c r="E51" s="10">
        <v>6</v>
      </c>
      <c r="F51" s="10">
        <v>10</v>
      </c>
      <c r="G51" s="10">
        <v>37</v>
      </c>
      <c r="H51" s="10">
        <v>0</v>
      </c>
      <c r="I51" s="10">
        <v>80</v>
      </c>
      <c r="J51" s="11">
        <v>456</v>
      </c>
    </row>
    <row r="52" spans="1:10" x14ac:dyDescent="0.3">
      <c r="A52" s="6" t="s">
        <v>60</v>
      </c>
      <c r="B52" s="7">
        <v>44</v>
      </c>
      <c r="C52" s="7">
        <v>50</v>
      </c>
      <c r="D52" s="7">
        <v>3</v>
      </c>
      <c r="E52" s="7">
        <v>0</v>
      </c>
      <c r="F52" s="7">
        <v>5</v>
      </c>
      <c r="G52" s="7">
        <v>8</v>
      </c>
      <c r="H52" s="7">
        <v>1</v>
      </c>
      <c r="I52" s="7">
        <v>12</v>
      </c>
      <c r="J52" s="8">
        <v>32</v>
      </c>
    </row>
    <row r="53" spans="1:10" x14ac:dyDescent="0.3">
      <c r="A53" s="9" t="s">
        <v>61</v>
      </c>
      <c r="B53" s="10">
        <v>44</v>
      </c>
      <c r="C53" s="10">
        <v>16</v>
      </c>
      <c r="D53" s="10">
        <v>3</v>
      </c>
      <c r="E53" s="10">
        <v>0</v>
      </c>
      <c r="F53" s="10">
        <v>0</v>
      </c>
      <c r="G53" s="10">
        <v>3</v>
      </c>
      <c r="H53" s="10">
        <v>0</v>
      </c>
      <c r="I53" s="10">
        <v>10</v>
      </c>
      <c r="J53" s="11">
        <v>34</v>
      </c>
    </row>
    <row r="54" spans="1:10" x14ac:dyDescent="0.3">
      <c r="A54" s="6" t="s">
        <v>62</v>
      </c>
      <c r="B54" s="7">
        <v>666</v>
      </c>
      <c r="C54" s="7">
        <v>306</v>
      </c>
      <c r="D54" s="7">
        <v>5</v>
      </c>
      <c r="E54" s="7">
        <v>1</v>
      </c>
      <c r="F54" s="7">
        <v>14</v>
      </c>
      <c r="G54" s="7">
        <v>20</v>
      </c>
      <c r="H54" s="7">
        <v>1</v>
      </c>
      <c r="I54" s="7">
        <v>200</v>
      </c>
      <c r="J54" s="8">
        <v>466</v>
      </c>
    </row>
    <row r="55" spans="1:10" x14ac:dyDescent="0.3">
      <c r="A55" s="30" t="s">
        <v>63</v>
      </c>
      <c r="B55" s="31">
        <f>SUM(B12,B13,B14,B15)</f>
        <v>559</v>
      </c>
      <c r="C55" s="31">
        <f t="shared" ref="C55:J55" si="0">SUM(C12,C13,C14,C15)</f>
        <v>217</v>
      </c>
      <c r="D55" s="31">
        <f t="shared" si="0"/>
        <v>18</v>
      </c>
      <c r="E55" s="31">
        <f t="shared" si="0"/>
        <v>2</v>
      </c>
      <c r="F55" s="31">
        <f t="shared" si="0"/>
        <v>24</v>
      </c>
      <c r="G55" s="31">
        <f t="shared" si="0"/>
        <v>44</v>
      </c>
      <c r="H55" s="31">
        <f t="shared" si="0"/>
        <v>0</v>
      </c>
      <c r="I55" s="31">
        <f t="shared" si="0"/>
        <v>277</v>
      </c>
      <c r="J55" s="32">
        <f t="shared" si="0"/>
        <v>282</v>
      </c>
    </row>
    <row r="56" spans="1:10" x14ac:dyDescent="0.3">
      <c r="A56" s="27" t="s">
        <v>64</v>
      </c>
      <c r="B56" s="28">
        <f>SUM(B40,B41,B42,B43)</f>
        <v>1</v>
      </c>
      <c r="C56" s="28">
        <f t="shared" ref="C56:J56" si="1">SUM(C40,C41,C42,C43)</f>
        <v>2</v>
      </c>
      <c r="D56" s="28">
        <f t="shared" si="1"/>
        <v>11</v>
      </c>
      <c r="E56" s="28">
        <f t="shared" si="1"/>
        <v>1</v>
      </c>
      <c r="F56" s="28">
        <f t="shared" si="1"/>
        <v>0</v>
      </c>
      <c r="G56" s="28">
        <f t="shared" si="1"/>
        <v>12</v>
      </c>
      <c r="H56" s="28">
        <f t="shared" si="1"/>
        <v>0</v>
      </c>
      <c r="I56" s="28">
        <f t="shared" si="1"/>
        <v>0</v>
      </c>
      <c r="J56" s="29">
        <f t="shared" si="1"/>
        <v>1</v>
      </c>
    </row>
    <row r="57" spans="1:10" x14ac:dyDescent="0.3">
      <c r="A57" s="24" t="s">
        <v>65</v>
      </c>
      <c r="B57" s="25">
        <f>SUM(B2:B54)</f>
        <v>30975</v>
      </c>
      <c r="C57" s="25">
        <f t="shared" ref="C57:J57" si="2">SUM(C2:C54)</f>
        <v>13325</v>
      </c>
      <c r="D57" s="25">
        <f t="shared" si="2"/>
        <v>1640</v>
      </c>
      <c r="E57" s="25">
        <f t="shared" si="2"/>
        <v>118</v>
      </c>
      <c r="F57" s="25">
        <f t="shared" si="2"/>
        <v>907</v>
      </c>
      <c r="G57" s="25">
        <f t="shared" si="2"/>
        <v>2665</v>
      </c>
      <c r="H57" s="25">
        <f t="shared" si="2"/>
        <v>114</v>
      </c>
      <c r="I57" s="25">
        <f t="shared" si="2"/>
        <v>6969</v>
      </c>
      <c r="J57" s="26">
        <f t="shared" si="2"/>
        <v>24006</v>
      </c>
    </row>
  </sheetData>
  <autoFilter ref="A1:J57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style="1" customWidth="1"/>
    <col min="2" max="10" width="15.6640625" customWidth="1"/>
  </cols>
  <sheetData>
    <row r="1" spans="1:10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>
        <v>3228</v>
      </c>
      <c r="C2" s="4">
        <v>1242</v>
      </c>
      <c r="D2" s="4">
        <v>126</v>
      </c>
      <c r="E2" s="4">
        <v>27</v>
      </c>
      <c r="F2" s="4">
        <v>63</v>
      </c>
      <c r="G2" s="4">
        <v>216</v>
      </c>
      <c r="H2" s="4">
        <v>3</v>
      </c>
      <c r="I2" s="4">
        <v>490</v>
      </c>
      <c r="J2" s="5">
        <v>2738</v>
      </c>
    </row>
    <row r="3" spans="1:10" x14ac:dyDescent="0.3">
      <c r="A3" s="6" t="s">
        <v>11</v>
      </c>
      <c r="B3" s="7">
        <v>1366</v>
      </c>
      <c r="C3" s="7">
        <v>545</v>
      </c>
      <c r="D3" s="7">
        <v>68</v>
      </c>
      <c r="E3" s="7">
        <v>5</v>
      </c>
      <c r="F3" s="7">
        <v>23</v>
      </c>
      <c r="G3" s="7">
        <v>96</v>
      </c>
      <c r="H3" s="7">
        <v>4</v>
      </c>
      <c r="I3" s="7">
        <v>244</v>
      </c>
      <c r="J3" s="8">
        <v>1122</v>
      </c>
    </row>
    <row r="4" spans="1:10" x14ac:dyDescent="0.3">
      <c r="A4" s="9" t="s">
        <v>12</v>
      </c>
      <c r="B4" s="10">
        <v>2714</v>
      </c>
      <c r="C4" s="10">
        <v>1143</v>
      </c>
      <c r="D4" s="10">
        <v>136</v>
      </c>
      <c r="E4" s="10">
        <v>10</v>
      </c>
      <c r="F4" s="10">
        <v>83</v>
      </c>
      <c r="G4" s="10">
        <v>229</v>
      </c>
      <c r="H4" s="10">
        <v>1</v>
      </c>
      <c r="I4" s="10">
        <v>518</v>
      </c>
      <c r="J4" s="11">
        <v>2196</v>
      </c>
    </row>
    <row r="5" spans="1:10" x14ac:dyDescent="0.3">
      <c r="A5" s="6" t="s">
        <v>13</v>
      </c>
      <c r="B5" s="7">
        <v>72</v>
      </c>
      <c r="C5" s="7">
        <v>27</v>
      </c>
      <c r="D5" s="7">
        <v>4</v>
      </c>
      <c r="E5" s="7">
        <v>0</v>
      </c>
      <c r="F5" s="7">
        <v>4</v>
      </c>
      <c r="G5" s="7">
        <v>8</v>
      </c>
      <c r="H5" s="7">
        <v>0</v>
      </c>
      <c r="I5" s="7">
        <v>52</v>
      </c>
      <c r="J5" s="8">
        <v>20</v>
      </c>
    </row>
    <row r="6" spans="1:10" x14ac:dyDescent="0.3">
      <c r="A6" s="9" t="s">
        <v>14</v>
      </c>
      <c r="B6" s="10">
        <v>2674</v>
      </c>
      <c r="C6" s="10">
        <v>1048</v>
      </c>
      <c r="D6" s="10">
        <v>266</v>
      </c>
      <c r="E6" s="10">
        <v>7</v>
      </c>
      <c r="F6" s="10">
        <v>62</v>
      </c>
      <c r="G6" s="10">
        <v>335</v>
      </c>
      <c r="H6" s="10">
        <v>15</v>
      </c>
      <c r="I6" s="10">
        <v>958</v>
      </c>
      <c r="J6" s="11">
        <v>1716</v>
      </c>
    </row>
    <row r="7" spans="1:10" x14ac:dyDescent="0.3">
      <c r="A7" s="6" t="s">
        <v>15</v>
      </c>
      <c r="B7" s="7">
        <v>368</v>
      </c>
      <c r="C7" s="7">
        <v>129</v>
      </c>
      <c r="D7" s="7">
        <v>2</v>
      </c>
      <c r="E7" s="7">
        <v>0</v>
      </c>
      <c r="F7" s="7">
        <v>2</v>
      </c>
      <c r="G7" s="7">
        <v>4</v>
      </c>
      <c r="H7" s="7">
        <v>1</v>
      </c>
      <c r="I7" s="7">
        <v>92</v>
      </c>
      <c r="J7" s="8">
        <v>276</v>
      </c>
    </row>
    <row r="8" spans="1:10" x14ac:dyDescent="0.3">
      <c r="A8" s="9" t="s">
        <v>16</v>
      </c>
      <c r="B8" s="10">
        <v>188</v>
      </c>
      <c r="C8" s="10">
        <v>100</v>
      </c>
      <c r="D8" s="10">
        <v>2</v>
      </c>
      <c r="E8" s="10">
        <v>0</v>
      </c>
      <c r="F8" s="10">
        <v>2</v>
      </c>
      <c r="G8" s="10">
        <v>4</v>
      </c>
      <c r="H8" s="10">
        <v>0</v>
      </c>
      <c r="I8" s="10">
        <v>34</v>
      </c>
      <c r="J8" s="11">
        <v>154</v>
      </c>
    </row>
    <row r="9" spans="1:10" x14ac:dyDescent="0.3">
      <c r="A9" s="6" t="s">
        <v>17</v>
      </c>
      <c r="B9" s="7">
        <v>74</v>
      </c>
      <c r="C9" s="7">
        <v>41</v>
      </c>
      <c r="D9" s="7">
        <v>0</v>
      </c>
      <c r="E9" s="7">
        <v>0</v>
      </c>
      <c r="F9" s="7">
        <v>2</v>
      </c>
      <c r="G9" s="7">
        <v>2</v>
      </c>
      <c r="H9" s="7">
        <v>0</v>
      </c>
      <c r="I9" s="7">
        <v>30</v>
      </c>
      <c r="J9" s="8">
        <v>44</v>
      </c>
    </row>
    <row r="10" spans="1:10" x14ac:dyDescent="0.3">
      <c r="A10" s="9" t="s">
        <v>18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1">
        <v>1</v>
      </c>
    </row>
    <row r="11" spans="1:10" x14ac:dyDescent="0.3">
      <c r="A11" s="6" t="s">
        <v>19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8">
        <v>0</v>
      </c>
    </row>
    <row r="12" spans="1:10" x14ac:dyDescent="0.3">
      <c r="A12" s="12" t="s">
        <v>20</v>
      </c>
      <c r="B12" s="13">
        <v>4</v>
      </c>
      <c r="C12" s="13">
        <v>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4</v>
      </c>
      <c r="J12" s="14">
        <v>0</v>
      </c>
    </row>
    <row r="13" spans="1:10" x14ac:dyDescent="0.3">
      <c r="A13" s="15" t="s">
        <v>21</v>
      </c>
      <c r="B13" s="16">
        <v>88</v>
      </c>
      <c r="C13" s="16">
        <v>33</v>
      </c>
      <c r="D13" s="16">
        <v>5</v>
      </c>
      <c r="E13" s="16">
        <v>0</v>
      </c>
      <c r="F13" s="16">
        <v>0</v>
      </c>
      <c r="G13" s="16">
        <v>5</v>
      </c>
      <c r="H13" s="16">
        <v>0</v>
      </c>
      <c r="I13" s="16">
        <v>38</v>
      </c>
      <c r="J13" s="17">
        <v>50</v>
      </c>
    </row>
    <row r="14" spans="1:10" x14ac:dyDescent="0.3">
      <c r="A14" s="12" t="s">
        <v>22</v>
      </c>
      <c r="B14" s="13">
        <v>328</v>
      </c>
      <c r="C14" s="13">
        <v>166</v>
      </c>
      <c r="D14" s="13">
        <v>1</v>
      </c>
      <c r="E14" s="13">
        <v>4</v>
      </c>
      <c r="F14" s="13">
        <v>9</v>
      </c>
      <c r="G14" s="13">
        <v>14</v>
      </c>
      <c r="H14" s="13">
        <v>0</v>
      </c>
      <c r="I14" s="13">
        <v>148</v>
      </c>
      <c r="J14" s="14">
        <v>180</v>
      </c>
    </row>
    <row r="15" spans="1:10" x14ac:dyDescent="0.3">
      <c r="A15" s="15" t="s">
        <v>23</v>
      </c>
      <c r="B15" s="16">
        <v>202</v>
      </c>
      <c r="C15" s="16">
        <v>73</v>
      </c>
      <c r="D15" s="16">
        <v>5</v>
      </c>
      <c r="E15" s="16">
        <v>1</v>
      </c>
      <c r="F15" s="16">
        <v>10</v>
      </c>
      <c r="G15" s="16">
        <v>16</v>
      </c>
      <c r="H15" s="16">
        <v>0</v>
      </c>
      <c r="I15" s="16">
        <v>92</v>
      </c>
      <c r="J15" s="17">
        <v>110</v>
      </c>
    </row>
    <row r="16" spans="1:10" x14ac:dyDescent="0.3">
      <c r="A16" s="9" t="s">
        <v>24</v>
      </c>
      <c r="B16" s="10">
        <v>102</v>
      </c>
      <c r="C16" s="10">
        <v>48</v>
      </c>
      <c r="D16" s="10">
        <v>0</v>
      </c>
      <c r="E16" s="10">
        <v>0</v>
      </c>
      <c r="F16" s="10">
        <v>3</v>
      </c>
      <c r="G16" s="10">
        <v>3</v>
      </c>
      <c r="H16" s="10">
        <v>0</v>
      </c>
      <c r="I16" s="10">
        <v>60</v>
      </c>
      <c r="J16" s="11">
        <v>42</v>
      </c>
    </row>
    <row r="17" spans="1:10" x14ac:dyDescent="0.3">
      <c r="A17" s="6" t="s">
        <v>25</v>
      </c>
      <c r="B17" s="7">
        <v>1366</v>
      </c>
      <c r="C17" s="7">
        <v>560</v>
      </c>
      <c r="D17" s="7">
        <v>71</v>
      </c>
      <c r="E17" s="7">
        <v>8</v>
      </c>
      <c r="F17" s="7">
        <v>32</v>
      </c>
      <c r="G17" s="7">
        <v>111</v>
      </c>
      <c r="H17" s="7">
        <v>0</v>
      </c>
      <c r="I17" s="7">
        <v>448</v>
      </c>
      <c r="J17" s="8">
        <v>918</v>
      </c>
    </row>
    <row r="18" spans="1:10" x14ac:dyDescent="0.3">
      <c r="A18" s="9" t="s">
        <v>26</v>
      </c>
      <c r="B18" s="10">
        <v>38</v>
      </c>
      <c r="C18" s="10">
        <v>40</v>
      </c>
      <c r="D18" s="10">
        <v>1</v>
      </c>
      <c r="E18" s="10">
        <v>0</v>
      </c>
      <c r="F18" s="10">
        <v>1</v>
      </c>
      <c r="G18" s="10">
        <v>2</v>
      </c>
      <c r="H18" s="10">
        <v>1</v>
      </c>
      <c r="I18" s="10">
        <v>20</v>
      </c>
      <c r="J18" s="11">
        <v>18</v>
      </c>
    </row>
    <row r="19" spans="1:10" x14ac:dyDescent="0.3">
      <c r="A19" s="6" t="s">
        <v>27</v>
      </c>
      <c r="B19" s="7">
        <v>680</v>
      </c>
      <c r="C19" s="7">
        <v>267</v>
      </c>
      <c r="D19" s="7">
        <v>37</v>
      </c>
      <c r="E19" s="7">
        <v>1</v>
      </c>
      <c r="F19" s="7">
        <v>14</v>
      </c>
      <c r="G19" s="7">
        <v>52</v>
      </c>
      <c r="H19" s="7">
        <v>0</v>
      </c>
      <c r="I19" s="7">
        <v>200</v>
      </c>
      <c r="J19" s="8">
        <v>480</v>
      </c>
    </row>
    <row r="20" spans="1:10" x14ac:dyDescent="0.3">
      <c r="A20" s="9" t="s">
        <v>28</v>
      </c>
      <c r="B20" s="10">
        <v>0</v>
      </c>
      <c r="C20" s="10">
        <v>0</v>
      </c>
      <c r="D20" s="10">
        <v>0</v>
      </c>
      <c r="E20" s="10">
        <v>0</v>
      </c>
      <c r="F20" s="10">
        <v>1</v>
      </c>
      <c r="G20" s="10">
        <v>1</v>
      </c>
      <c r="H20" s="10">
        <v>0</v>
      </c>
      <c r="I20" s="10">
        <v>0</v>
      </c>
      <c r="J20" s="11">
        <v>0</v>
      </c>
    </row>
    <row r="21" spans="1:10" x14ac:dyDescent="0.3">
      <c r="A21" s="6" t="s">
        <v>29</v>
      </c>
      <c r="B21" s="7">
        <v>904</v>
      </c>
      <c r="C21" s="7">
        <v>432</v>
      </c>
      <c r="D21" s="7">
        <v>23</v>
      </c>
      <c r="E21" s="7">
        <v>1</v>
      </c>
      <c r="F21" s="7">
        <v>11</v>
      </c>
      <c r="G21" s="7">
        <v>35</v>
      </c>
      <c r="H21" s="7">
        <v>6</v>
      </c>
      <c r="I21" s="7">
        <v>230</v>
      </c>
      <c r="J21" s="8">
        <v>674</v>
      </c>
    </row>
    <row r="22" spans="1:10" x14ac:dyDescent="0.3">
      <c r="A22" s="9" t="s">
        <v>30</v>
      </c>
      <c r="B22" s="10">
        <v>88</v>
      </c>
      <c r="C22" s="10">
        <v>56</v>
      </c>
      <c r="D22" s="10">
        <v>1</v>
      </c>
      <c r="E22" s="10">
        <v>0</v>
      </c>
      <c r="F22" s="10">
        <v>4</v>
      </c>
      <c r="G22" s="10">
        <v>5</v>
      </c>
      <c r="H22" s="10">
        <v>0</v>
      </c>
      <c r="I22" s="10">
        <v>36</v>
      </c>
      <c r="J22" s="11">
        <v>52</v>
      </c>
    </row>
    <row r="23" spans="1:10" x14ac:dyDescent="0.3">
      <c r="A23" s="6" t="s">
        <v>31</v>
      </c>
      <c r="B23" s="7">
        <v>1326</v>
      </c>
      <c r="C23" s="7">
        <v>393</v>
      </c>
      <c r="D23" s="7">
        <v>159</v>
      </c>
      <c r="E23" s="7">
        <v>7</v>
      </c>
      <c r="F23" s="7">
        <v>25</v>
      </c>
      <c r="G23" s="7">
        <v>191</v>
      </c>
      <c r="H23" s="7">
        <v>3</v>
      </c>
      <c r="I23" s="7">
        <v>272</v>
      </c>
      <c r="J23" s="8">
        <v>1054</v>
      </c>
    </row>
    <row r="24" spans="1:10" x14ac:dyDescent="0.3">
      <c r="A24" s="9" t="s">
        <v>32</v>
      </c>
      <c r="B24" s="10">
        <v>4024</v>
      </c>
      <c r="C24" s="10">
        <v>1673</v>
      </c>
      <c r="D24" s="10">
        <v>234</v>
      </c>
      <c r="E24" s="10">
        <v>26</v>
      </c>
      <c r="F24" s="10">
        <v>94</v>
      </c>
      <c r="G24" s="10">
        <v>354</v>
      </c>
      <c r="H24" s="10">
        <v>2</v>
      </c>
      <c r="I24" s="10">
        <v>668</v>
      </c>
      <c r="J24" s="11">
        <v>3356</v>
      </c>
    </row>
    <row r="25" spans="1:10" x14ac:dyDescent="0.3">
      <c r="A25" s="6" t="s">
        <v>33</v>
      </c>
      <c r="B25" s="7">
        <v>268</v>
      </c>
      <c r="C25" s="7">
        <v>110</v>
      </c>
      <c r="D25" s="7">
        <v>2</v>
      </c>
      <c r="E25" s="7">
        <v>0</v>
      </c>
      <c r="F25" s="7">
        <v>12</v>
      </c>
      <c r="G25" s="7">
        <v>14</v>
      </c>
      <c r="H25" s="7">
        <v>0</v>
      </c>
      <c r="I25" s="7">
        <v>70</v>
      </c>
      <c r="J25" s="8">
        <v>198</v>
      </c>
    </row>
    <row r="26" spans="1:10" x14ac:dyDescent="0.3">
      <c r="A26" s="9" t="s">
        <v>34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1">
        <v>0</v>
      </c>
    </row>
    <row r="27" spans="1:10" x14ac:dyDescent="0.3">
      <c r="A27" s="6" t="s">
        <v>35</v>
      </c>
      <c r="B27" s="7">
        <v>366</v>
      </c>
      <c r="C27" s="7">
        <v>183</v>
      </c>
      <c r="D27" s="7">
        <v>2</v>
      </c>
      <c r="E27" s="7">
        <v>0</v>
      </c>
      <c r="F27" s="7">
        <v>9</v>
      </c>
      <c r="G27" s="7">
        <v>11</v>
      </c>
      <c r="H27" s="7">
        <v>3</v>
      </c>
      <c r="I27" s="7">
        <v>102</v>
      </c>
      <c r="J27" s="8">
        <v>264</v>
      </c>
    </row>
    <row r="28" spans="1:10" x14ac:dyDescent="0.3">
      <c r="A28" s="9" t="s">
        <v>36</v>
      </c>
      <c r="B28" s="10">
        <v>328</v>
      </c>
      <c r="C28" s="10">
        <v>139</v>
      </c>
      <c r="D28" s="10">
        <v>16</v>
      </c>
      <c r="E28" s="10">
        <v>0</v>
      </c>
      <c r="F28" s="10">
        <v>3</v>
      </c>
      <c r="G28" s="10">
        <v>19</v>
      </c>
      <c r="H28" s="10">
        <v>0</v>
      </c>
      <c r="I28" s="10">
        <v>112</v>
      </c>
      <c r="J28" s="11">
        <v>216</v>
      </c>
    </row>
    <row r="29" spans="1:10" x14ac:dyDescent="0.3">
      <c r="A29" s="6" t="s">
        <v>37</v>
      </c>
      <c r="B29" s="7">
        <v>1438</v>
      </c>
      <c r="C29" s="7">
        <v>716</v>
      </c>
      <c r="D29" s="7">
        <v>19</v>
      </c>
      <c r="E29" s="7">
        <v>3</v>
      </c>
      <c r="F29" s="7">
        <v>24</v>
      </c>
      <c r="G29" s="7">
        <v>46</v>
      </c>
      <c r="H29" s="7">
        <v>1</v>
      </c>
      <c r="I29" s="7">
        <v>428</v>
      </c>
      <c r="J29" s="8">
        <v>1010</v>
      </c>
    </row>
    <row r="30" spans="1:10" x14ac:dyDescent="0.3">
      <c r="A30" s="9" t="s">
        <v>38</v>
      </c>
      <c r="B30" s="10">
        <v>48</v>
      </c>
      <c r="C30" s="10">
        <v>21</v>
      </c>
      <c r="D30" s="10">
        <v>1</v>
      </c>
      <c r="E30" s="10">
        <v>0</v>
      </c>
      <c r="F30" s="10">
        <v>3</v>
      </c>
      <c r="G30" s="10">
        <v>4</v>
      </c>
      <c r="H30" s="10">
        <v>0</v>
      </c>
      <c r="I30" s="10">
        <v>24</v>
      </c>
      <c r="J30" s="11">
        <v>24</v>
      </c>
    </row>
    <row r="31" spans="1:10" x14ac:dyDescent="0.3">
      <c r="A31" s="6" t="s">
        <v>39</v>
      </c>
      <c r="B31" s="7">
        <v>34</v>
      </c>
      <c r="C31" s="7">
        <v>57</v>
      </c>
      <c r="D31" s="7">
        <v>2</v>
      </c>
      <c r="E31" s="7">
        <v>0</v>
      </c>
      <c r="F31" s="7">
        <v>2</v>
      </c>
      <c r="G31" s="7">
        <v>4</v>
      </c>
      <c r="H31" s="7">
        <v>1</v>
      </c>
      <c r="I31" s="7">
        <v>18</v>
      </c>
      <c r="J31" s="8">
        <v>16</v>
      </c>
    </row>
    <row r="32" spans="1:10" x14ac:dyDescent="0.3">
      <c r="A32" s="9" t="s">
        <v>40</v>
      </c>
      <c r="B32" s="10">
        <v>934</v>
      </c>
      <c r="C32" s="10">
        <v>335</v>
      </c>
      <c r="D32" s="10">
        <v>59</v>
      </c>
      <c r="E32" s="10">
        <v>3</v>
      </c>
      <c r="F32" s="10">
        <v>45</v>
      </c>
      <c r="G32" s="10">
        <v>107</v>
      </c>
      <c r="H32" s="10">
        <v>13</v>
      </c>
      <c r="I32" s="10">
        <v>392</v>
      </c>
      <c r="J32" s="11">
        <v>542</v>
      </c>
    </row>
    <row r="33" spans="1:10" x14ac:dyDescent="0.3">
      <c r="A33" s="6" t="s">
        <v>41</v>
      </c>
      <c r="B33" s="7">
        <v>702</v>
      </c>
      <c r="C33" s="7">
        <v>331</v>
      </c>
      <c r="D33" s="7">
        <v>18</v>
      </c>
      <c r="E33" s="7">
        <v>1</v>
      </c>
      <c r="F33" s="7">
        <v>31</v>
      </c>
      <c r="G33" s="7">
        <v>50</v>
      </c>
      <c r="H33" s="7">
        <v>25</v>
      </c>
      <c r="I33" s="7">
        <v>318</v>
      </c>
      <c r="J33" s="8">
        <v>384</v>
      </c>
    </row>
    <row r="34" spans="1:10" x14ac:dyDescent="0.3">
      <c r="A34" s="9" t="s">
        <v>42</v>
      </c>
      <c r="B34" s="10">
        <v>248</v>
      </c>
      <c r="C34" s="10">
        <v>108</v>
      </c>
      <c r="D34" s="10">
        <v>19</v>
      </c>
      <c r="E34" s="10">
        <v>0</v>
      </c>
      <c r="F34" s="10">
        <v>6</v>
      </c>
      <c r="G34" s="10">
        <v>25</v>
      </c>
      <c r="H34" s="10">
        <v>0</v>
      </c>
      <c r="I34" s="10">
        <v>98</v>
      </c>
      <c r="J34" s="11">
        <v>150</v>
      </c>
    </row>
    <row r="35" spans="1:10" x14ac:dyDescent="0.3">
      <c r="A35" s="6" t="s">
        <v>43</v>
      </c>
      <c r="B35" s="7">
        <v>2600</v>
      </c>
      <c r="C35" s="7">
        <v>1121</v>
      </c>
      <c r="D35" s="7">
        <v>203</v>
      </c>
      <c r="E35" s="7">
        <v>8</v>
      </c>
      <c r="F35" s="7">
        <v>69</v>
      </c>
      <c r="G35" s="7">
        <v>280</v>
      </c>
      <c r="H35" s="7">
        <v>15</v>
      </c>
      <c r="I35" s="7">
        <v>510</v>
      </c>
      <c r="J35" s="8">
        <v>2090</v>
      </c>
    </row>
    <row r="36" spans="1:10" x14ac:dyDescent="0.3">
      <c r="A36" s="9" t="s">
        <v>44</v>
      </c>
      <c r="B36" s="10">
        <v>326</v>
      </c>
      <c r="C36" s="10">
        <v>136</v>
      </c>
      <c r="D36" s="10">
        <v>4</v>
      </c>
      <c r="E36" s="10">
        <v>0</v>
      </c>
      <c r="F36" s="10">
        <v>11</v>
      </c>
      <c r="G36" s="10">
        <v>15</v>
      </c>
      <c r="H36" s="10">
        <v>4</v>
      </c>
      <c r="I36" s="10">
        <v>122</v>
      </c>
      <c r="J36" s="11">
        <v>204</v>
      </c>
    </row>
    <row r="37" spans="1:10" x14ac:dyDescent="0.3">
      <c r="A37" s="6" t="s">
        <v>45</v>
      </c>
      <c r="B37" s="7">
        <v>1126</v>
      </c>
      <c r="C37" s="7">
        <v>403</v>
      </c>
      <c r="D37" s="7">
        <v>132</v>
      </c>
      <c r="E37" s="7">
        <v>3</v>
      </c>
      <c r="F37" s="7">
        <v>39</v>
      </c>
      <c r="G37" s="7">
        <v>174</v>
      </c>
      <c r="H37" s="7">
        <v>0</v>
      </c>
      <c r="I37" s="7">
        <v>318</v>
      </c>
      <c r="J37" s="8">
        <v>808</v>
      </c>
    </row>
    <row r="38" spans="1:10" x14ac:dyDescent="0.3">
      <c r="A38" s="9" t="s">
        <v>46</v>
      </c>
      <c r="B38" s="10">
        <v>78</v>
      </c>
      <c r="C38" s="10">
        <v>76</v>
      </c>
      <c r="D38" s="10">
        <v>0</v>
      </c>
      <c r="E38" s="10">
        <v>1</v>
      </c>
      <c r="F38" s="10">
        <v>1</v>
      </c>
      <c r="G38" s="10">
        <v>2</v>
      </c>
      <c r="H38" s="10">
        <v>0</v>
      </c>
      <c r="I38" s="10">
        <v>12</v>
      </c>
      <c r="J38" s="11">
        <v>66</v>
      </c>
    </row>
    <row r="39" spans="1:10" x14ac:dyDescent="0.3">
      <c r="A39" s="6" t="s">
        <v>47</v>
      </c>
      <c r="B39" s="7">
        <v>69</v>
      </c>
      <c r="C39" s="7">
        <v>28</v>
      </c>
      <c r="D39" s="7">
        <v>28</v>
      </c>
      <c r="E39" s="7">
        <v>0</v>
      </c>
      <c r="F39" s="7">
        <v>0</v>
      </c>
      <c r="G39" s="7">
        <v>28</v>
      </c>
      <c r="H39" s="7">
        <v>0</v>
      </c>
      <c r="I39" s="7">
        <v>30</v>
      </c>
      <c r="J39" s="8">
        <v>39</v>
      </c>
    </row>
    <row r="40" spans="1:10" x14ac:dyDescent="0.3">
      <c r="A40" s="18" t="s">
        <v>48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20">
        <v>0</v>
      </c>
    </row>
    <row r="41" spans="1:10" x14ac:dyDescent="0.3">
      <c r="A41" s="21" t="s">
        <v>49</v>
      </c>
      <c r="B41" s="22">
        <v>0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3">
        <v>0</v>
      </c>
    </row>
    <row r="42" spans="1:10" x14ac:dyDescent="0.3">
      <c r="A42" s="18" t="s">
        <v>50</v>
      </c>
      <c r="B42" s="19">
        <v>0</v>
      </c>
      <c r="C42" s="19">
        <v>1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20">
        <v>0</v>
      </c>
    </row>
    <row r="43" spans="1:10" x14ac:dyDescent="0.3">
      <c r="A43" s="21" t="s">
        <v>51</v>
      </c>
      <c r="B43" s="22">
        <v>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3">
        <v>0</v>
      </c>
    </row>
    <row r="44" spans="1:10" x14ac:dyDescent="0.3">
      <c r="A44" s="6" t="s">
        <v>52</v>
      </c>
      <c r="B44" s="7">
        <v>108</v>
      </c>
      <c r="C44" s="7">
        <v>39</v>
      </c>
      <c r="D44" s="7">
        <v>1</v>
      </c>
      <c r="E44" s="7">
        <v>0</v>
      </c>
      <c r="F44" s="7">
        <v>3</v>
      </c>
      <c r="G44" s="7">
        <v>4</v>
      </c>
      <c r="H44" s="7">
        <v>0</v>
      </c>
      <c r="I44" s="7">
        <v>62</v>
      </c>
      <c r="J44" s="8">
        <v>46</v>
      </c>
    </row>
    <row r="45" spans="1:10" x14ac:dyDescent="0.3">
      <c r="A45" s="9" t="s">
        <v>53</v>
      </c>
      <c r="B45" s="10">
        <v>866</v>
      </c>
      <c r="C45" s="10">
        <v>347</v>
      </c>
      <c r="D45" s="10">
        <v>33</v>
      </c>
      <c r="E45" s="10">
        <v>2</v>
      </c>
      <c r="F45" s="10">
        <v>17</v>
      </c>
      <c r="G45" s="10">
        <v>52</v>
      </c>
      <c r="H45" s="10">
        <v>1</v>
      </c>
      <c r="I45" s="10">
        <v>380</v>
      </c>
      <c r="J45" s="11">
        <v>486</v>
      </c>
    </row>
    <row r="46" spans="1:10" x14ac:dyDescent="0.3">
      <c r="A46" s="6" t="s">
        <v>54</v>
      </c>
      <c r="B46" s="7">
        <v>1306</v>
      </c>
      <c r="C46" s="7">
        <v>587</v>
      </c>
      <c r="D46" s="7">
        <v>0</v>
      </c>
      <c r="E46" s="7">
        <v>1</v>
      </c>
      <c r="F46" s="7">
        <v>29</v>
      </c>
      <c r="G46" s="7">
        <v>30</v>
      </c>
      <c r="H46" s="7">
        <v>0</v>
      </c>
      <c r="I46" s="7">
        <v>238</v>
      </c>
      <c r="J46" s="8">
        <v>1068</v>
      </c>
    </row>
    <row r="47" spans="1:10" x14ac:dyDescent="0.3">
      <c r="A47" s="9" t="s">
        <v>55</v>
      </c>
      <c r="B47" s="10">
        <v>398</v>
      </c>
      <c r="C47" s="10">
        <v>214</v>
      </c>
      <c r="D47" s="10">
        <v>12</v>
      </c>
      <c r="E47" s="10">
        <v>5</v>
      </c>
      <c r="F47" s="10">
        <v>17</v>
      </c>
      <c r="G47" s="10">
        <v>34</v>
      </c>
      <c r="H47" s="10">
        <v>0</v>
      </c>
      <c r="I47" s="10">
        <v>116</v>
      </c>
      <c r="J47" s="11">
        <v>282</v>
      </c>
    </row>
    <row r="48" spans="1:10" x14ac:dyDescent="0.3">
      <c r="A48" s="6" t="s">
        <v>56</v>
      </c>
      <c r="B48" s="7">
        <v>638</v>
      </c>
      <c r="C48" s="7">
        <v>184</v>
      </c>
      <c r="D48" s="7">
        <v>36</v>
      </c>
      <c r="E48" s="7">
        <v>1</v>
      </c>
      <c r="F48" s="7">
        <v>74</v>
      </c>
      <c r="G48" s="7">
        <v>111</v>
      </c>
      <c r="H48" s="7">
        <v>0</v>
      </c>
      <c r="I48" s="7">
        <v>116</v>
      </c>
      <c r="J48" s="8">
        <v>522</v>
      </c>
    </row>
    <row r="49" spans="1:10" x14ac:dyDescent="0.3">
      <c r="A49" s="9" t="s">
        <v>57</v>
      </c>
      <c r="B49" s="10">
        <v>2058</v>
      </c>
      <c r="C49" s="10">
        <v>863</v>
      </c>
      <c r="D49" s="10">
        <v>66</v>
      </c>
      <c r="E49" s="10">
        <v>10</v>
      </c>
      <c r="F49" s="10">
        <v>40</v>
      </c>
      <c r="G49" s="10">
        <v>116</v>
      </c>
      <c r="H49" s="10">
        <v>25</v>
      </c>
      <c r="I49" s="10">
        <v>428</v>
      </c>
      <c r="J49" s="11">
        <v>1630</v>
      </c>
    </row>
    <row r="50" spans="1:10" x14ac:dyDescent="0.3">
      <c r="A50" s="6" t="s">
        <v>58</v>
      </c>
      <c r="B50" s="7">
        <v>107</v>
      </c>
      <c r="C50" s="7">
        <v>81</v>
      </c>
      <c r="D50" s="7">
        <v>15</v>
      </c>
      <c r="E50" s="7">
        <v>3</v>
      </c>
      <c r="F50" s="7">
        <v>2</v>
      </c>
      <c r="G50" s="7">
        <v>20</v>
      </c>
      <c r="H50" s="7">
        <v>0</v>
      </c>
      <c r="I50" s="7">
        <v>28</v>
      </c>
      <c r="J50" s="8">
        <v>79</v>
      </c>
    </row>
    <row r="51" spans="1:10" x14ac:dyDescent="0.3">
      <c r="A51" s="9" t="s">
        <v>59</v>
      </c>
      <c r="B51" s="10">
        <v>548</v>
      </c>
      <c r="C51" s="10">
        <v>262</v>
      </c>
      <c r="D51" s="10">
        <v>29</v>
      </c>
      <c r="E51" s="10">
        <v>0</v>
      </c>
      <c r="F51" s="10">
        <v>4</v>
      </c>
      <c r="G51" s="10">
        <v>33</v>
      </c>
      <c r="H51" s="10">
        <v>1</v>
      </c>
      <c r="I51" s="10">
        <v>104</v>
      </c>
      <c r="J51" s="11">
        <v>444</v>
      </c>
    </row>
    <row r="52" spans="1:10" x14ac:dyDescent="0.3">
      <c r="A52" s="6" t="s">
        <v>60</v>
      </c>
      <c r="B52" s="7">
        <v>55</v>
      </c>
      <c r="C52" s="7">
        <v>41</v>
      </c>
      <c r="D52" s="7">
        <v>3</v>
      </c>
      <c r="E52" s="7">
        <v>0</v>
      </c>
      <c r="F52" s="7">
        <v>0</v>
      </c>
      <c r="G52" s="7">
        <v>3</v>
      </c>
      <c r="H52" s="7">
        <v>0</v>
      </c>
      <c r="I52" s="7">
        <v>12</v>
      </c>
      <c r="J52" s="8">
        <v>43</v>
      </c>
    </row>
    <row r="53" spans="1:10" x14ac:dyDescent="0.3">
      <c r="A53" s="9" t="s">
        <v>61</v>
      </c>
      <c r="B53" s="10">
        <v>24</v>
      </c>
      <c r="C53" s="10">
        <v>22</v>
      </c>
      <c r="D53" s="10">
        <v>2</v>
      </c>
      <c r="E53" s="10">
        <v>0</v>
      </c>
      <c r="F53" s="10">
        <v>1</v>
      </c>
      <c r="G53" s="10">
        <v>3</v>
      </c>
      <c r="H53" s="10">
        <v>0</v>
      </c>
      <c r="I53" s="10">
        <v>10</v>
      </c>
      <c r="J53" s="11">
        <v>14</v>
      </c>
    </row>
    <row r="54" spans="1:10" x14ac:dyDescent="0.3">
      <c r="A54" s="6" t="s">
        <v>62</v>
      </c>
      <c r="B54" s="7">
        <v>572</v>
      </c>
      <c r="C54" s="7">
        <v>296</v>
      </c>
      <c r="D54" s="7">
        <v>3</v>
      </c>
      <c r="E54" s="7">
        <v>1</v>
      </c>
      <c r="F54" s="7">
        <v>9</v>
      </c>
      <c r="G54" s="7">
        <v>13</v>
      </c>
      <c r="H54" s="7">
        <v>1</v>
      </c>
      <c r="I54" s="7">
        <v>280</v>
      </c>
      <c r="J54" s="8">
        <v>292</v>
      </c>
    </row>
    <row r="55" spans="1:10" x14ac:dyDescent="0.3">
      <c r="A55" s="30" t="s">
        <v>63</v>
      </c>
      <c r="B55" s="31">
        <f>SUM(B12,B13,B14,B15)</f>
        <v>622</v>
      </c>
      <c r="C55" s="31">
        <f t="shared" ref="C55:J55" si="0">SUM(C12,C13,C14,C15)</f>
        <v>276</v>
      </c>
      <c r="D55" s="31">
        <f t="shared" si="0"/>
        <v>11</v>
      </c>
      <c r="E55" s="31">
        <f t="shared" si="0"/>
        <v>5</v>
      </c>
      <c r="F55" s="31">
        <f t="shared" si="0"/>
        <v>19</v>
      </c>
      <c r="G55" s="31">
        <f t="shared" si="0"/>
        <v>35</v>
      </c>
      <c r="H55" s="31">
        <f t="shared" si="0"/>
        <v>0</v>
      </c>
      <c r="I55" s="31">
        <f t="shared" si="0"/>
        <v>282</v>
      </c>
      <c r="J55" s="32">
        <f t="shared" si="0"/>
        <v>340</v>
      </c>
    </row>
    <row r="56" spans="1:10" x14ac:dyDescent="0.3">
      <c r="A56" s="27" t="s">
        <v>64</v>
      </c>
      <c r="B56" s="28">
        <f>SUM(B40,B41,B42,B43)</f>
        <v>0</v>
      </c>
      <c r="C56" s="28">
        <f t="shared" ref="C56:J56" si="1">SUM(C40,C41,C42,C43)</f>
        <v>1</v>
      </c>
      <c r="D56" s="28">
        <f t="shared" si="1"/>
        <v>0</v>
      </c>
      <c r="E56" s="28">
        <f t="shared" si="1"/>
        <v>0</v>
      </c>
      <c r="F56" s="28">
        <f t="shared" si="1"/>
        <v>0</v>
      </c>
      <c r="G56" s="28">
        <f t="shared" si="1"/>
        <v>0</v>
      </c>
      <c r="H56" s="28">
        <f t="shared" si="1"/>
        <v>0</v>
      </c>
      <c r="I56" s="28">
        <f t="shared" si="1"/>
        <v>0</v>
      </c>
      <c r="J56" s="29">
        <f t="shared" si="1"/>
        <v>0</v>
      </c>
    </row>
    <row r="57" spans="1:10" x14ac:dyDescent="0.3">
      <c r="A57" s="24" t="s">
        <v>65</v>
      </c>
      <c r="B57" s="25">
        <f>SUM(B2:B54)</f>
        <v>35080</v>
      </c>
      <c r="C57" s="25">
        <f t="shared" ref="C57:J57" si="2">SUM(C2:C54)</f>
        <v>14721</v>
      </c>
      <c r="D57" s="25">
        <f t="shared" si="2"/>
        <v>1846</v>
      </c>
      <c r="E57" s="25">
        <f t="shared" si="2"/>
        <v>139</v>
      </c>
      <c r="F57" s="25">
        <f t="shared" si="2"/>
        <v>896</v>
      </c>
      <c r="G57" s="25">
        <f t="shared" si="2"/>
        <v>2881</v>
      </c>
      <c r="H57" s="25">
        <f t="shared" si="2"/>
        <v>126</v>
      </c>
      <c r="I57" s="25">
        <f t="shared" si="2"/>
        <v>8962</v>
      </c>
      <c r="J57" s="26">
        <f t="shared" si="2"/>
        <v>26118</v>
      </c>
    </row>
  </sheetData>
  <autoFilter ref="A1:J57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C9" sqref="C9"/>
    </sheetView>
  </sheetViews>
  <sheetFormatPr defaultRowHeight="14.4" x14ac:dyDescent="0.3"/>
  <cols>
    <col min="1" max="1" width="45.6640625" style="1" customWidth="1"/>
    <col min="2" max="10" width="15.6640625" customWidth="1"/>
  </cols>
  <sheetData>
    <row r="1" spans="1:10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>
        <v>2802</v>
      </c>
      <c r="C2" s="4">
        <v>1346</v>
      </c>
      <c r="D2" s="4">
        <v>92</v>
      </c>
      <c r="E2" s="4">
        <v>8</v>
      </c>
      <c r="F2" s="4">
        <v>39</v>
      </c>
      <c r="G2" s="4">
        <v>139</v>
      </c>
      <c r="H2" s="4">
        <v>3</v>
      </c>
      <c r="I2" s="4">
        <v>412</v>
      </c>
      <c r="J2" s="5">
        <v>2390</v>
      </c>
    </row>
    <row r="3" spans="1:10" x14ac:dyDescent="0.3">
      <c r="A3" s="6" t="s">
        <v>11</v>
      </c>
      <c r="B3" s="7">
        <v>1302</v>
      </c>
      <c r="C3" s="7">
        <v>696</v>
      </c>
      <c r="D3" s="7">
        <v>71</v>
      </c>
      <c r="E3" s="7">
        <v>5</v>
      </c>
      <c r="F3" s="7">
        <v>28</v>
      </c>
      <c r="G3" s="7">
        <v>104</v>
      </c>
      <c r="H3" s="7">
        <v>4</v>
      </c>
      <c r="I3" s="7">
        <v>226</v>
      </c>
      <c r="J3" s="8">
        <v>1076</v>
      </c>
    </row>
    <row r="4" spans="1:10" x14ac:dyDescent="0.3">
      <c r="A4" s="9" t="s">
        <v>12</v>
      </c>
      <c r="B4" s="10">
        <v>2960</v>
      </c>
      <c r="C4" s="10">
        <v>1235</v>
      </c>
      <c r="D4" s="10">
        <v>161</v>
      </c>
      <c r="E4" s="10">
        <v>9</v>
      </c>
      <c r="F4" s="10">
        <v>96</v>
      </c>
      <c r="G4" s="10">
        <v>266</v>
      </c>
      <c r="H4" s="10">
        <v>3</v>
      </c>
      <c r="I4" s="10">
        <v>458</v>
      </c>
      <c r="J4" s="11">
        <v>2502</v>
      </c>
    </row>
    <row r="5" spans="1:10" x14ac:dyDescent="0.3">
      <c r="A5" s="6" t="s">
        <v>13</v>
      </c>
      <c r="B5" s="7">
        <v>20</v>
      </c>
      <c r="C5" s="7">
        <v>12</v>
      </c>
      <c r="D5" s="7">
        <v>1</v>
      </c>
      <c r="E5" s="7">
        <v>0</v>
      </c>
      <c r="F5" s="7">
        <v>0</v>
      </c>
      <c r="G5" s="7">
        <v>1</v>
      </c>
      <c r="H5" s="7">
        <v>0</v>
      </c>
      <c r="I5" s="7">
        <v>10</v>
      </c>
      <c r="J5" s="8">
        <v>10</v>
      </c>
    </row>
    <row r="6" spans="1:10" x14ac:dyDescent="0.3">
      <c r="A6" s="9" t="s">
        <v>14</v>
      </c>
      <c r="B6" s="10">
        <v>2508</v>
      </c>
      <c r="C6" s="10">
        <v>951</v>
      </c>
      <c r="D6" s="10">
        <v>255</v>
      </c>
      <c r="E6" s="10">
        <v>3</v>
      </c>
      <c r="F6" s="10">
        <v>65</v>
      </c>
      <c r="G6" s="10">
        <v>323</v>
      </c>
      <c r="H6" s="10">
        <v>20</v>
      </c>
      <c r="I6" s="10">
        <v>848</v>
      </c>
      <c r="J6" s="11">
        <v>1660</v>
      </c>
    </row>
    <row r="7" spans="1:10" x14ac:dyDescent="0.3">
      <c r="A7" s="6" t="s">
        <v>15</v>
      </c>
      <c r="B7" s="7">
        <v>464</v>
      </c>
      <c r="C7" s="7">
        <v>237</v>
      </c>
      <c r="D7" s="7">
        <v>3</v>
      </c>
      <c r="E7" s="7">
        <v>0</v>
      </c>
      <c r="F7" s="7">
        <v>142</v>
      </c>
      <c r="G7" s="7">
        <v>145</v>
      </c>
      <c r="H7" s="7">
        <v>140</v>
      </c>
      <c r="I7" s="7">
        <v>138</v>
      </c>
      <c r="J7" s="8">
        <v>326</v>
      </c>
    </row>
    <row r="8" spans="1:10" x14ac:dyDescent="0.3">
      <c r="A8" s="9" t="s">
        <v>16</v>
      </c>
      <c r="B8" s="10">
        <v>370</v>
      </c>
      <c r="C8" s="10">
        <v>158</v>
      </c>
      <c r="D8" s="10">
        <v>1</v>
      </c>
      <c r="E8" s="10">
        <v>0</v>
      </c>
      <c r="F8" s="10">
        <v>10</v>
      </c>
      <c r="G8" s="10">
        <v>11</v>
      </c>
      <c r="H8" s="10">
        <v>1</v>
      </c>
      <c r="I8" s="10">
        <v>64</v>
      </c>
      <c r="J8" s="11">
        <v>306</v>
      </c>
    </row>
    <row r="9" spans="1:10" x14ac:dyDescent="0.3">
      <c r="A9" s="6" t="s">
        <v>17</v>
      </c>
      <c r="B9" s="7">
        <v>126</v>
      </c>
      <c r="C9" s="7">
        <v>55</v>
      </c>
      <c r="D9" s="7">
        <v>0</v>
      </c>
      <c r="E9" s="7">
        <v>0</v>
      </c>
      <c r="F9" s="7">
        <v>4</v>
      </c>
      <c r="G9" s="7">
        <v>4</v>
      </c>
      <c r="H9" s="7">
        <v>0</v>
      </c>
      <c r="I9" s="7">
        <v>30</v>
      </c>
      <c r="J9" s="8">
        <v>96</v>
      </c>
    </row>
    <row r="10" spans="1:10" x14ac:dyDescent="0.3">
      <c r="A10" s="9" t="s">
        <v>18</v>
      </c>
      <c r="B10" s="10">
        <v>0</v>
      </c>
      <c r="C10" s="10">
        <v>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1">
        <v>0</v>
      </c>
    </row>
    <row r="11" spans="1:10" x14ac:dyDescent="0.3">
      <c r="A11" s="6" t="s">
        <v>19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8">
        <v>0</v>
      </c>
    </row>
    <row r="12" spans="1:10" x14ac:dyDescent="0.3">
      <c r="A12" s="12" t="s">
        <v>20</v>
      </c>
      <c r="B12" s="13">
        <v>8</v>
      </c>
      <c r="C12" s="13">
        <v>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6</v>
      </c>
      <c r="J12" s="14">
        <v>2</v>
      </c>
    </row>
    <row r="13" spans="1:10" x14ac:dyDescent="0.3">
      <c r="A13" s="15" t="s">
        <v>21</v>
      </c>
      <c r="B13" s="16">
        <v>54</v>
      </c>
      <c r="C13" s="16">
        <v>28</v>
      </c>
      <c r="D13" s="16">
        <v>2</v>
      </c>
      <c r="E13" s="16">
        <v>1</v>
      </c>
      <c r="F13" s="16">
        <v>2</v>
      </c>
      <c r="G13" s="16">
        <v>5</v>
      </c>
      <c r="H13" s="16">
        <v>0</v>
      </c>
      <c r="I13" s="16">
        <v>24</v>
      </c>
      <c r="J13" s="17">
        <v>30</v>
      </c>
    </row>
    <row r="14" spans="1:10" x14ac:dyDescent="0.3">
      <c r="A14" s="12" t="s">
        <v>22</v>
      </c>
      <c r="B14" s="13">
        <v>312</v>
      </c>
      <c r="C14" s="13">
        <v>147</v>
      </c>
      <c r="D14" s="13">
        <v>6</v>
      </c>
      <c r="E14" s="13">
        <v>0</v>
      </c>
      <c r="F14" s="13">
        <v>15</v>
      </c>
      <c r="G14" s="13">
        <v>21</v>
      </c>
      <c r="H14" s="13">
        <v>8</v>
      </c>
      <c r="I14" s="13">
        <v>136</v>
      </c>
      <c r="J14" s="14">
        <v>176</v>
      </c>
    </row>
    <row r="15" spans="1:10" x14ac:dyDescent="0.3">
      <c r="A15" s="15" t="s">
        <v>23</v>
      </c>
      <c r="B15" s="16">
        <v>78</v>
      </c>
      <c r="C15" s="16">
        <v>70</v>
      </c>
      <c r="D15" s="16">
        <v>6</v>
      </c>
      <c r="E15" s="16">
        <v>5</v>
      </c>
      <c r="F15" s="16">
        <v>10</v>
      </c>
      <c r="G15" s="16">
        <v>21</v>
      </c>
      <c r="H15" s="16">
        <v>2</v>
      </c>
      <c r="I15" s="16">
        <v>36</v>
      </c>
      <c r="J15" s="17">
        <v>42</v>
      </c>
    </row>
    <row r="16" spans="1:10" x14ac:dyDescent="0.3">
      <c r="A16" s="9" t="s">
        <v>24</v>
      </c>
      <c r="B16" s="10">
        <v>102</v>
      </c>
      <c r="C16" s="10">
        <v>52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68</v>
      </c>
      <c r="J16" s="11">
        <v>34</v>
      </c>
    </row>
    <row r="17" spans="1:10" x14ac:dyDescent="0.3">
      <c r="A17" s="6" t="s">
        <v>25</v>
      </c>
      <c r="B17" s="7">
        <v>1280</v>
      </c>
      <c r="C17" s="7">
        <v>497</v>
      </c>
      <c r="D17" s="7">
        <v>50</v>
      </c>
      <c r="E17" s="7">
        <v>9</v>
      </c>
      <c r="F17" s="7">
        <v>38</v>
      </c>
      <c r="G17" s="7">
        <v>97</v>
      </c>
      <c r="H17" s="7">
        <v>0</v>
      </c>
      <c r="I17" s="7">
        <v>426</v>
      </c>
      <c r="J17" s="8">
        <v>854</v>
      </c>
    </row>
    <row r="18" spans="1:10" x14ac:dyDescent="0.3">
      <c r="A18" s="9" t="s">
        <v>26</v>
      </c>
      <c r="B18" s="10">
        <v>80</v>
      </c>
      <c r="C18" s="10">
        <v>25</v>
      </c>
      <c r="D18" s="10">
        <v>4</v>
      </c>
      <c r="E18" s="10">
        <v>0</v>
      </c>
      <c r="F18" s="10">
        <v>2</v>
      </c>
      <c r="G18" s="10">
        <v>6</v>
      </c>
      <c r="H18" s="10">
        <v>0</v>
      </c>
      <c r="I18" s="10">
        <v>30</v>
      </c>
      <c r="J18" s="11">
        <v>50</v>
      </c>
    </row>
    <row r="19" spans="1:10" x14ac:dyDescent="0.3">
      <c r="A19" s="6" t="s">
        <v>27</v>
      </c>
      <c r="B19" s="7">
        <v>714</v>
      </c>
      <c r="C19" s="7">
        <v>335</v>
      </c>
      <c r="D19" s="7">
        <v>28</v>
      </c>
      <c r="E19" s="7">
        <v>2</v>
      </c>
      <c r="F19" s="7">
        <v>15</v>
      </c>
      <c r="G19" s="7">
        <v>45</v>
      </c>
      <c r="H19" s="7">
        <v>2</v>
      </c>
      <c r="I19" s="7">
        <v>246</v>
      </c>
      <c r="J19" s="8">
        <v>468</v>
      </c>
    </row>
    <row r="20" spans="1:10" x14ac:dyDescent="0.3">
      <c r="A20" s="9" t="s">
        <v>28</v>
      </c>
      <c r="B20" s="10">
        <v>2</v>
      </c>
      <c r="C20" s="10">
        <v>0</v>
      </c>
      <c r="D20" s="10">
        <v>0</v>
      </c>
      <c r="E20" s="10">
        <v>0</v>
      </c>
      <c r="F20" s="10">
        <v>2</v>
      </c>
      <c r="G20" s="10">
        <v>2</v>
      </c>
      <c r="H20" s="10">
        <v>0</v>
      </c>
      <c r="I20" s="10">
        <v>0</v>
      </c>
      <c r="J20" s="11">
        <v>2</v>
      </c>
    </row>
    <row r="21" spans="1:10" x14ac:dyDescent="0.3">
      <c r="A21" s="6" t="s">
        <v>29</v>
      </c>
      <c r="B21" s="7">
        <v>1008</v>
      </c>
      <c r="C21" s="7">
        <v>503</v>
      </c>
      <c r="D21" s="7">
        <v>18</v>
      </c>
      <c r="E21" s="7">
        <v>2</v>
      </c>
      <c r="F21" s="7">
        <v>14</v>
      </c>
      <c r="G21" s="7">
        <v>34</v>
      </c>
      <c r="H21" s="7">
        <v>0</v>
      </c>
      <c r="I21" s="7">
        <v>266</v>
      </c>
      <c r="J21" s="8">
        <v>742</v>
      </c>
    </row>
    <row r="22" spans="1:10" x14ac:dyDescent="0.3">
      <c r="A22" s="9" t="s">
        <v>30</v>
      </c>
      <c r="B22" s="10">
        <v>150</v>
      </c>
      <c r="C22" s="10">
        <v>49</v>
      </c>
      <c r="D22" s="10">
        <v>3</v>
      </c>
      <c r="E22" s="10">
        <v>1</v>
      </c>
      <c r="F22" s="10">
        <v>4</v>
      </c>
      <c r="G22" s="10">
        <v>8</v>
      </c>
      <c r="H22" s="10">
        <v>0</v>
      </c>
      <c r="I22" s="10">
        <v>58</v>
      </c>
      <c r="J22" s="11">
        <v>92</v>
      </c>
    </row>
    <row r="23" spans="1:10" x14ac:dyDescent="0.3">
      <c r="A23" s="6" t="s">
        <v>31</v>
      </c>
      <c r="B23" s="7">
        <v>1312</v>
      </c>
      <c r="C23" s="7">
        <v>465</v>
      </c>
      <c r="D23" s="7">
        <v>147</v>
      </c>
      <c r="E23" s="7">
        <v>10</v>
      </c>
      <c r="F23" s="7">
        <v>28</v>
      </c>
      <c r="G23" s="7">
        <v>185</v>
      </c>
      <c r="H23" s="7">
        <v>3</v>
      </c>
      <c r="I23" s="7">
        <v>266</v>
      </c>
      <c r="J23" s="8">
        <v>1046</v>
      </c>
    </row>
    <row r="24" spans="1:10" x14ac:dyDescent="0.3">
      <c r="A24" s="9" t="s">
        <v>32</v>
      </c>
      <c r="B24" s="10">
        <v>3756</v>
      </c>
      <c r="C24" s="10">
        <v>1579</v>
      </c>
      <c r="D24" s="10">
        <v>247</v>
      </c>
      <c r="E24" s="10">
        <v>15</v>
      </c>
      <c r="F24" s="10">
        <v>92</v>
      </c>
      <c r="G24" s="10">
        <v>354</v>
      </c>
      <c r="H24" s="10">
        <v>3</v>
      </c>
      <c r="I24" s="10">
        <v>560</v>
      </c>
      <c r="J24" s="11">
        <v>3196</v>
      </c>
    </row>
    <row r="25" spans="1:10" x14ac:dyDescent="0.3">
      <c r="A25" s="6" t="s">
        <v>33</v>
      </c>
      <c r="B25" s="7">
        <v>280</v>
      </c>
      <c r="C25" s="7">
        <v>95</v>
      </c>
      <c r="D25" s="7">
        <v>7</v>
      </c>
      <c r="E25" s="7">
        <v>1</v>
      </c>
      <c r="F25" s="7">
        <v>6</v>
      </c>
      <c r="G25" s="7">
        <v>14</v>
      </c>
      <c r="H25" s="7">
        <v>0</v>
      </c>
      <c r="I25" s="7">
        <v>98</v>
      </c>
      <c r="J25" s="8">
        <v>182</v>
      </c>
    </row>
    <row r="26" spans="1:10" x14ac:dyDescent="0.3">
      <c r="A26" s="9" t="s">
        <v>34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1">
        <v>0</v>
      </c>
    </row>
    <row r="27" spans="1:10" x14ac:dyDescent="0.3">
      <c r="A27" s="6" t="s">
        <v>35</v>
      </c>
      <c r="B27" s="7">
        <v>308</v>
      </c>
      <c r="C27" s="7">
        <v>160</v>
      </c>
      <c r="D27" s="7">
        <v>3</v>
      </c>
      <c r="E27" s="7">
        <v>2</v>
      </c>
      <c r="F27" s="7">
        <v>4</v>
      </c>
      <c r="G27" s="7">
        <v>9</v>
      </c>
      <c r="H27" s="7">
        <v>4</v>
      </c>
      <c r="I27" s="7">
        <v>104</v>
      </c>
      <c r="J27" s="8">
        <v>204</v>
      </c>
    </row>
    <row r="28" spans="1:10" x14ac:dyDescent="0.3">
      <c r="A28" s="9" t="s">
        <v>36</v>
      </c>
      <c r="B28" s="10">
        <v>254</v>
      </c>
      <c r="C28" s="10">
        <v>125</v>
      </c>
      <c r="D28" s="10">
        <v>12</v>
      </c>
      <c r="E28" s="10">
        <v>0</v>
      </c>
      <c r="F28" s="10">
        <v>7</v>
      </c>
      <c r="G28" s="10">
        <v>19</v>
      </c>
      <c r="H28" s="10">
        <v>0</v>
      </c>
      <c r="I28" s="10">
        <v>74</v>
      </c>
      <c r="J28" s="11">
        <v>180</v>
      </c>
    </row>
    <row r="29" spans="1:10" x14ac:dyDescent="0.3">
      <c r="A29" s="6" t="s">
        <v>37</v>
      </c>
      <c r="B29" s="7">
        <v>1428</v>
      </c>
      <c r="C29" s="7">
        <v>622</v>
      </c>
      <c r="D29" s="7">
        <v>7</v>
      </c>
      <c r="E29" s="7">
        <v>4</v>
      </c>
      <c r="F29" s="7">
        <v>32</v>
      </c>
      <c r="G29" s="7">
        <v>43</v>
      </c>
      <c r="H29" s="7">
        <v>0</v>
      </c>
      <c r="I29" s="7">
        <v>322</v>
      </c>
      <c r="J29" s="8">
        <v>1106</v>
      </c>
    </row>
    <row r="30" spans="1:10" x14ac:dyDescent="0.3">
      <c r="A30" s="9" t="s">
        <v>38</v>
      </c>
      <c r="B30" s="10">
        <v>100</v>
      </c>
      <c r="C30" s="10">
        <v>42</v>
      </c>
      <c r="D30" s="10">
        <v>5</v>
      </c>
      <c r="E30" s="10">
        <v>0</v>
      </c>
      <c r="F30" s="10">
        <v>2</v>
      </c>
      <c r="G30" s="10">
        <v>7</v>
      </c>
      <c r="H30" s="10">
        <v>2</v>
      </c>
      <c r="I30" s="10">
        <v>54</v>
      </c>
      <c r="J30" s="11">
        <v>46</v>
      </c>
    </row>
    <row r="31" spans="1:10" x14ac:dyDescent="0.3">
      <c r="A31" s="6" t="s">
        <v>39</v>
      </c>
      <c r="B31" s="7">
        <v>41</v>
      </c>
      <c r="C31" s="7">
        <v>41</v>
      </c>
      <c r="D31" s="7">
        <v>4</v>
      </c>
      <c r="E31" s="7">
        <v>0</v>
      </c>
      <c r="F31" s="7">
        <v>1</v>
      </c>
      <c r="G31" s="7">
        <v>5</v>
      </c>
      <c r="H31" s="7">
        <v>1</v>
      </c>
      <c r="I31" s="7">
        <v>8</v>
      </c>
      <c r="J31" s="8">
        <v>33</v>
      </c>
    </row>
    <row r="32" spans="1:10" x14ac:dyDescent="0.3">
      <c r="A32" s="9" t="s">
        <v>40</v>
      </c>
      <c r="B32" s="10">
        <v>1078</v>
      </c>
      <c r="C32" s="10">
        <v>426</v>
      </c>
      <c r="D32" s="10">
        <v>68</v>
      </c>
      <c r="E32" s="10">
        <v>3</v>
      </c>
      <c r="F32" s="10">
        <v>63</v>
      </c>
      <c r="G32" s="10">
        <v>134</v>
      </c>
      <c r="H32" s="10">
        <v>31</v>
      </c>
      <c r="I32" s="10">
        <v>474</v>
      </c>
      <c r="J32" s="11">
        <v>604</v>
      </c>
    </row>
    <row r="33" spans="1:10" x14ac:dyDescent="0.3">
      <c r="A33" s="6" t="s">
        <v>41</v>
      </c>
      <c r="B33" s="7">
        <v>790</v>
      </c>
      <c r="C33" s="7">
        <v>359</v>
      </c>
      <c r="D33" s="7">
        <v>9</v>
      </c>
      <c r="E33" s="7">
        <v>2</v>
      </c>
      <c r="F33" s="7">
        <v>74</v>
      </c>
      <c r="G33" s="7">
        <v>85</v>
      </c>
      <c r="H33" s="7">
        <v>30</v>
      </c>
      <c r="I33" s="7">
        <v>302</v>
      </c>
      <c r="J33" s="8">
        <v>488</v>
      </c>
    </row>
    <row r="34" spans="1:10" x14ac:dyDescent="0.3">
      <c r="A34" s="9" t="s">
        <v>42</v>
      </c>
      <c r="B34" s="10">
        <v>264</v>
      </c>
      <c r="C34" s="10">
        <v>113</v>
      </c>
      <c r="D34" s="10">
        <v>3</v>
      </c>
      <c r="E34" s="10">
        <v>1</v>
      </c>
      <c r="F34" s="10">
        <v>13</v>
      </c>
      <c r="G34" s="10">
        <v>17</v>
      </c>
      <c r="H34" s="10">
        <v>0</v>
      </c>
      <c r="I34" s="10">
        <v>138</v>
      </c>
      <c r="J34" s="11">
        <v>126</v>
      </c>
    </row>
    <row r="35" spans="1:10" x14ac:dyDescent="0.3">
      <c r="A35" s="6" t="s">
        <v>43</v>
      </c>
      <c r="B35" s="7">
        <v>2556</v>
      </c>
      <c r="C35" s="7">
        <v>992</v>
      </c>
      <c r="D35" s="7">
        <v>191</v>
      </c>
      <c r="E35" s="7">
        <v>24</v>
      </c>
      <c r="F35" s="7">
        <v>104</v>
      </c>
      <c r="G35" s="7">
        <v>319</v>
      </c>
      <c r="H35" s="7">
        <v>50</v>
      </c>
      <c r="I35" s="7">
        <v>454</v>
      </c>
      <c r="J35" s="8">
        <v>2102</v>
      </c>
    </row>
    <row r="36" spans="1:10" x14ac:dyDescent="0.3">
      <c r="A36" s="9" t="s">
        <v>44</v>
      </c>
      <c r="B36" s="10">
        <v>266</v>
      </c>
      <c r="C36" s="10">
        <v>151</v>
      </c>
      <c r="D36" s="10">
        <v>4</v>
      </c>
      <c r="E36" s="10">
        <v>0</v>
      </c>
      <c r="F36" s="10">
        <v>4</v>
      </c>
      <c r="G36" s="10">
        <v>8</v>
      </c>
      <c r="H36" s="10">
        <v>0</v>
      </c>
      <c r="I36" s="10">
        <v>112</v>
      </c>
      <c r="J36" s="11">
        <v>154</v>
      </c>
    </row>
    <row r="37" spans="1:10" x14ac:dyDescent="0.3">
      <c r="A37" s="6" t="s">
        <v>45</v>
      </c>
      <c r="B37" s="7">
        <v>1196</v>
      </c>
      <c r="C37" s="7">
        <v>457</v>
      </c>
      <c r="D37" s="7">
        <v>93</v>
      </c>
      <c r="E37" s="7">
        <v>2</v>
      </c>
      <c r="F37" s="7">
        <v>36</v>
      </c>
      <c r="G37" s="7">
        <v>131</v>
      </c>
      <c r="H37" s="7">
        <v>2</v>
      </c>
      <c r="I37" s="7">
        <v>262</v>
      </c>
      <c r="J37" s="8">
        <v>934</v>
      </c>
    </row>
    <row r="38" spans="1:10" x14ac:dyDescent="0.3">
      <c r="A38" s="9" t="s">
        <v>46</v>
      </c>
      <c r="B38" s="10">
        <v>40</v>
      </c>
      <c r="C38" s="10">
        <v>20</v>
      </c>
      <c r="D38" s="10">
        <v>1</v>
      </c>
      <c r="E38" s="10">
        <v>0</v>
      </c>
      <c r="F38" s="10">
        <v>1</v>
      </c>
      <c r="G38" s="10">
        <v>2</v>
      </c>
      <c r="H38" s="10">
        <v>0</v>
      </c>
      <c r="I38" s="10">
        <v>10</v>
      </c>
      <c r="J38" s="11">
        <v>30</v>
      </c>
    </row>
    <row r="39" spans="1:10" x14ac:dyDescent="0.3">
      <c r="A39" s="6" t="s">
        <v>47</v>
      </c>
      <c r="B39" s="7">
        <v>208</v>
      </c>
      <c r="C39" s="7">
        <v>103</v>
      </c>
      <c r="D39" s="7">
        <v>26</v>
      </c>
      <c r="E39" s="7">
        <v>0</v>
      </c>
      <c r="F39" s="7">
        <v>2</v>
      </c>
      <c r="G39" s="7">
        <v>28</v>
      </c>
      <c r="H39" s="7">
        <v>0</v>
      </c>
      <c r="I39" s="7">
        <v>94</v>
      </c>
      <c r="J39" s="8">
        <v>114</v>
      </c>
    </row>
    <row r="40" spans="1:10" x14ac:dyDescent="0.3">
      <c r="A40" s="18" t="s">
        <v>48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20">
        <v>0</v>
      </c>
    </row>
    <row r="41" spans="1:10" x14ac:dyDescent="0.3">
      <c r="A41" s="21" t="s">
        <v>49</v>
      </c>
      <c r="B41" s="22">
        <v>0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3">
        <v>0</v>
      </c>
    </row>
    <row r="42" spans="1:10" x14ac:dyDescent="0.3">
      <c r="A42" s="18" t="s">
        <v>50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20">
        <v>0</v>
      </c>
    </row>
    <row r="43" spans="1:10" x14ac:dyDescent="0.3">
      <c r="A43" s="21" t="s">
        <v>51</v>
      </c>
      <c r="B43" s="22">
        <v>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3">
        <v>0</v>
      </c>
    </row>
    <row r="44" spans="1:10" x14ac:dyDescent="0.3">
      <c r="A44" s="6" t="s">
        <v>52</v>
      </c>
      <c r="B44" s="7">
        <v>44</v>
      </c>
      <c r="C44" s="7">
        <v>47</v>
      </c>
      <c r="D44" s="7">
        <v>0</v>
      </c>
      <c r="E44" s="7">
        <v>0</v>
      </c>
      <c r="F44" s="7">
        <v>2</v>
      </c>
      <c r="G44" s="7">
        <v>2</v>
      </c>
      <c r="H44" s="7">
        <v>1</v>
      </c>
      <c r="I44" s="7">
        <v>16</v>
      </c>
      <c r="J44" s="8">
        <v>28</v>
      </c>
    </row>
    <row r="45" spans="1:10" x14ac:dyDescent="0.3">
      <c r="A45" s="9" t="s">
        <v>53</v>
      </c>
      <c r="B45" s="10">
        <v>826</v>
      </c>
      <c r="C45" s="10">
        <v>414</v>
      </c>
      <c r="D45" s="10">
        <v>52</v>
      </c>
      <c r="E45" s="10">
        <v>1</v>
      </c>
      <c r="F45" s="10">
        <v>9</v>
      </c>
      <c r="G45" s="10">
        <v>62</v>
      </c>
      <c r="H45" s="10">
        <v>2</v>
      </c>
      <c r="I45" s="10">
        <v>202</v>
      </c>
      <c r="J45" s="11">
        <v>624</v>
      </c>
    </row>
    <row r="46" spans="1:10" x14ac:dyDescent="0.3">
      <c r="A46" s="6" t="s">
        <v>54</v>
      </c>
      <c r="B46" s="7">
        <v>1142</v>
      </c>
      <c r="C46" s="7">
        <v>632</v>
      </c>
      <c r="D46" s="7">
        <v>0</v>
      </c>
      <c r="E46" s="7">
        <v>9</v>
      </c>
      <c r="F46" s="7">
        <v>27</v>
      </c>
      <c r="G46" s="7">
        <v>36</v>
      </c>
      <c r="H46" s="7">
        <v>0</v>
      </c>
      <c r="I46" s="7">
        <v>216</v>
      </c>
      <c r="J46" s="8">
        <v>926</v>
      </c>
    </row>
    <row r="47" spans="1:10" x14ac:dyDescent="0.3">
      <c r="A47" s="9" t="s">
        <v>55</v>
      </c>
      <c r="B47" s="10">
        <v>364</v>
      </c>
      <c r="C47" s="10">
        <v>182</v>
      </c>
      <c r="D47" s="10">
        <v>7</v>
      </c>
      <c r="E47" s="10">
        <v>2</v>
      </c>
      <c r="F47" s="10">
        <v>12</v>
      </c>
      <c r="G47" s="10">
        <v>21</v>
      </c>
      <c r="H47" s="10">
        <v>0</v>
      </c>
      <c r="I47" s="10">
        <v>106</v>
      </c>
      <c r="J47" s="11">
        <v>258</v>
      </c>
    </row>
    <row r="48" spans="1:10" x14ac:dyDescent="0.3">
      <c r="A48" s="6" t="s">
        <v>56</v>
      </c>
      <c r="B48" s="7">
        <v>454</v>
      </c>
      <c r="C48" s="7">
        <v>181</v>
      </c>
      <c r="D48" s="7">
        <v>2</v>
      </c>
      <c r="E48" s="7">
        <v>0</v>
      </c>
      <c r="F48" s="7">
        <v>7</v>
      </c>
      <c r="G48" s="7">
        <v>9</v>
      </c>
      <c r="H48" s="7">
        <v>0</v>
      </c>
      <c r="I48" s="7">
        <v>102</v>
      </c>
      <c r="J48" s="8">
        <v>352</v>
      </c>
    </row>
    <row r="49" spans="1:10" x14ac:dyDescent="0.3">
      <c r="A49" s="9" t="s">
        <v>57</v>
      </c>
      <c r="B49" s="10">
        <v>1766</v>
      </c>
      <c r="C49" s="10">
        <v>770</v>
      </c>
      <c r="D49" s="10">
        <v>136</v>
      </c>
      <c r="E49" s="10">
        <v>6</v>
      </c>
      <c r="F49" s="10">
        <v>35</v>
      </c>
      <c r="G49" s="10">
        <v>177</v>
      </c>
      <c r="H49" s="10">
        <v>14</v>
      </c>
      <c r="I49" s="10">
        <v>304</v>
      </c>
      <c r="J49" s="11">
        <v>1462</v>
      </c>
    </row>
    <row r="50" spans="1:10" x14ac:dyDescent="0.3">
      <c r="A50" s="6" t="s">
        <v>58</v>
      </c>
      <c r="B50" s="7">
        <v>182</v>
      </c>
      <c r="C50" s="7">
        <v>75</v>
      </c>
      <c r="D50" s="7">
        <v>14</v>
      </c>
      <c r="E50" s="7">
        <v>3</v>
      </c>
      <c r="F50" s="7">
        <v>7</v>
      </c>
      <c r="G50" s="7">
        <v>24</v>
      </c>
      <c r="H50" s="7">
        <v>1</v>
      </c>
      <c r="I50" s="7">
        <v>58</v>
      </c>
      <c r="J50" s="8">
        <v>124</v>
      </c>
    </row>
    <row r="51" spans="1:10" x14ac:dyDescent="0.3">
      <c r="A51" s="9" t="s">
        <v>59</v>
      </c>
      <c r="B51" s="10">
        <v>566</v>
      </c>
      <c r="C51" s="10">
        <v>227</v>
      </c>
      <c r="D51" s="10">
        <v>24</v>
      </c>
      <c r="E51" s="10">
        <v>0</v>
      </c>
      <c r="F51" s="10">
        <v>12</v>
      </c>
      <c r="G51" s="10">
        <v>36</v>
      </c>
      <c r="H51" s="10">
        <v>2</v>
      </c>
      <c r="I51" s="10">
        <v>164</v>
      </c>
      <c r="J51" s="11">
        <v>402</v>
      </c>
    </row>
    <row r="52" spans="1:10" x14ac:dyDescent="0.3">
      <c r="A52" s="6" t="s">
        <v>60</v>
      </c>
      <c r="B52" s="7">
        <v>27</v>
      </c>
      <c r="C52" s="7">
        <v>25</v>
      </c>
      <c r="D52" s="7">
        <v>4</v>
      </c>
      <c r="E52" s="7">
        <v>0</v>
      </c>
      <c r="F52" s="7">
        <v>7</v>
      </c>
      <c r="G52" s="7">
        <v>11</v>
      </c>
      <c r="H52" s="7">
        <v>0</v>
      </c>
      <c r="I52" s="7">
        <v>2</v>
      </c>
      <c r="J52" s="8">
        <v>25</v>
      </c>
    </row>
    <row r="53" spans="1:10" x14ac:dyDescent="0.3">
      <c r="A53" s="9" t="s">
        <v>61</v>
      </c>
      <c r="B53" s="10">
        <v>50</v>
      </c>
      <c r="C53" s="10">
        <v>21</v>
      </c>
      <c r="D53" s="10">
        <v>2</v>
      </c>
      <c r="E53" s="10">
        <v>0</v>
      </c>
      <c r="F53" s="10">
        <v>0</v>
      </c>
      <c r="G53" s="10">
        <v>2</v>
      </c>
      <c r="H53" s="10">
        <v>0</v>
      </c>
      <c r="I53" s="10">
        <v>22</v>
      </c>
      <c r="J53" s="11">
        <v>28</v>
      </c>
    </row>
    <row r="54" spans="1:10" x14ac:dyDescent="0.3">
      <c r="A54" s="6" t="s">
        <v>62</v>
      </c>
      <c r="B54" s="7">
        <v>598</v>
      </c>
      <c r="C54" s="7">
        <v>287</v>
      </c>
      <c r="D54" s="7">
        <v>7</v>
      </c>
      <c r="E54" s="7">
        <v>1</v>
      </c>
      <c r="F54" s="7">
        <v>5</v>
      </c>
      <c r="G54" s="7">
        <v>13</v>
      </c>
      <c r="H54" s="7">
        <v>0</v>
      </c>
      <c r="I54" s="7">
        <v>170</v>
      </c>
      <c r="J54" s="8">
        <v>428</v>
      </c>
    </row>
    <row r="55" spans="1:10" x14ac:dyDescent="0.3">
      <c r="A55" s="30" t="s">
        <v>63</v>
      </c>
      <c r="B55" s="31">
        <f>SUM(B12,B13,B14,B15)</f>
        <v>452</v>
      </c>
      <c r="C55" s="31">
        <f t="shared" ref="C55:J55" si="0">SUM(C12,C13,C14,C15)</f>
        <v>253</v>
      </c>
      <c r="D55" s="31">
        <f t="shared" si="0"/>
        <v>14</v>
      </c>
      <c r="E55" s="31">
        <f t="shared" si="0"/>
        <v>6</v>
      </c>
      <c r="F55" s="31">
        <f t="shared" si="0"/>
        <v>27</v>
      </c>
      <c r="G55" s="31">
        <f t="shared" si="0"/>
        <v>47</v>
      </c>
      <c r="H55" s="31">
        <f t="shared" si="0"/>
        <v>10</v>
      </c>
      <c r="I55" s="31">
        <f t="shared" si="0"/>
        <v>202</v>
      </c>
      <c r="J55" s="32">
        <f t="shared" si="0"/>
        <v>250</v>
      </c>
    </row>
    <row r="56" spans="1:10" x14ac:dyDescent="0.3">
      <c r="A56" s="27" t="s">
        <v>64</v>
      </c>
      <c r="B56" s="28">
        <f>SUM(B40,B41,B42,B43)</f>
        <v>0</v>
      </c>
      <c r="C56" s="28">
        <f t="shared" ref="C56:J56" si="1">SUM(C40,C41,C42,C43)</f>
        <v>0</v>
      </c>
      <c r="D56" s="28">
        <f t="shared" si="1"/>
        <v>0</v>
      </c>
      <c r="E56" s="28">
        <f t="shared" si="1"/>
        <v>0</v>
      </c>
      <c r="F56" s="28">
        <f t="shared" si="1"/>
        <v>0</v>
      </c>
      <c r="G56" s="28">
        <f t="shared" si="1"/>
        <v>0</v>
      </c>
      <c r="H56" s="28">
        <f t="shared" si="1"/>
        <v>0</v>
      </c>
      <c r="I56" s="28">
        <f t="shared" si="1"/>
        <v>0</v>
      </c>
      <c r="J56" s="29">
        <f t="shared" si="1"/>
        <v>0</v>
      </c>
    </row>
    <row r="57" spans="1:10" x14ac:dyDescent="0.3">
      <c r="A57" s="24" t="s">
        <v>65</v>
      </c>
      <c r="B57" s="25">
        <f>SUM(B2:B54)</f>
        <v>34236</v>
      </c>
      <c r="C57" s="25">
        <f t="shared" ref="C57:J57" si="2">SUM(C2:C54)</f>
        <v>15016</v>
      </c>
      <c r="D57" s="25">
        <f t="shared" si="2"/>
        <v>1776</v>
      </c>
      <c r="E57" s="25">
        <f t="shared" si="2"/>
        <v>131</v>
      </c>
      <c r="F57" s="25">
        <f t="shared" si="2"/>
        <v>1078</v>
      </c>
      <c r="G57" s="25">
        <f t="shared" si="2"/>
        <v>2985</v>
      </c>
      <c r="H57" s="25">
        <f t="shared" si="2"/>
        <v>329</v>
      </c>
      <c r="I57" s="25">
        <f t="shared" si="2"/>
        <v>8176</v>
      </c>
      <c r="J57" s="26">
        <f t="shared" si="2"/>
        <v>26060</v>
      </c>
    </row>
  </sheetData>
  <autoFilter ref="A1:J57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style="1" customWidth="1"/>
    <col min="2" max="10" width="15.6640625" customWidth="1"/>
  </cols>
  <sheetData>
    <row r="1" spans="1:10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>
        <v>3080</v>
      </c>
      <c r="C2" s="4">
        <v>1353</v>
      </c>
      <c r="D2" s="4">
        <v>108</v>
      </c>
      <c r="E2" s="4">
        <v>13</v>
      </c>
      <c r="F2" s="4">
        <v>38</v>
      </c>
      <c r="G2" s="4">
        <v>159</v>
      </c>
      <c r="H2" s="4">
        <v>4</v>
      </c>
      <c r="I2" s="4">
        <v>472</v>
      </c>
      <c r="J2" s="5">
        <v>2608</v>
      </c>
    </row>
    <row r="3" spans="1:10" x14ac:dyDescent="0.3">
      <c r="A3" s="6" t="s">
        <v>11</v>
      </c>
      <c r="B3" s="7">
        <v>1220</v>
      </c>
      <c r="C3" s="7">
        <v>520</v>
      </c>
      <c r="D3" s="7">
        <v>33</v>
      </c>
      <c r="E3" s="7">
        <v>0</v>
      </c>
      <c r="F3" s="7">
        <v>28</v>
      </c>
      <c r="G3" s="7">
        <v>61</v>
      </c>
      <c r="H3" s="7">
        <v>4</v>
      </c>
      <c r="I3" s="7">
        <v>204</v>
      </c>
      <c r="J3" s="8">
        <v>1016</v>
      </c>
    </row>
    <row r="4" spans="1:10" x14ac:dyDescent="0.3">
      <c r="A4" s="9" t="s">
        <v>12</v>
      </c>
      <c r="B4" s="10">
        <v>3186</v>
      </c>
      <c r="C4" s="10">
        <v>1252</v>
      </c>
      <c r="D4" s="10">
        <v>116</v>
      </c>
      <c r="E4" s="10">
        <v>25</v>
      </c>
      <c r="F4" s="10">
        <v>76</v>
      </c>
      <c r="G4" s="10">
        <v>217</v>
      </c>
      <c r="H4" s="10">
        <v>0</v>
      </c>
      <c r="I4" s="10">
        <v>492</v>
      </c>
      <c r="J4" s="11">
        <v>2694</v>
      </c>
    </row>
    <row r="5" spans="1:10" x14ac:dyDescent="0.3">
      <c r="A5" s="6" t="s">
        <v>13</v>
      </c>
      <c r="B5" s="7">
        <v>30</v>
      </c>
      <c r="C5" s="7">
        <v>13</v>
      </c>
      <c r="D5" s="7">
        <v>6</v>
      </c>
      <c r="E5" s="7">
        <v>0</v>
      </c>
      <c r="F5" s="7">
        <v>0</v>
      </c>
      <c r="G5" s="7">
        <v>6</v>
      </c>
      <c r="H5" s="7">
        <v>0</v>
      </c>
      <c r="I5" s="7">
        <v>22</v>
      </c>
      <c r="J5" s="8">
        <v>8</v>
      </c>
    </row>
    <row r="6" spans="1:10" x14ac:dyDescent="0.3">
      <c r="A6" s="9" t="s">
        <v>14</v>
      </c>
      <c r="B6" s="10">
        <v>3082</v>
      </c>
      <c r="C6" s="10">
        <v>1094</v>
      </c>
      <c r="D6" s="10">
        <v>225</v>
      </c>
      <c r="E6" s="10">
        <v>9</v>
      </c>
      <c r="F6" s="10">
        <v>73</v>
      </c>
      <c r="G6" s="10">
        <v>307</v>
      </c>
      <c r="H6" s="10">
        <v>17</v>
      </c>
      <c r="I6" s="10">
        <v>844</v>
      </c>
      <c r="J6" s="11">
        <v>2238</v>
      </c>
    </row>
    <row r="7" spans="1:10" x14ac:dyDescent="0.3">
      <c r="A7" s="6" t="s">
        <v>15</v>
      </c>
      <c r="B7" s="7">
        <v>462</v>
      </c>
      <c r="C7" s="7">
        <v>189</v>
      </c>
      <c r="D7" s="7">
        <v>4</v>
      </c>
      <c r="E7" s="7">
        <v>1</v>
      </c>
      <c r="F7" s="7">
        <v>20</v>
      </c>
      <c r="G7" s="7">
        <v>25</v>
      </c>
      <c r="H7" s="7">
        <v>16</v>
      </c>
      <c r="I7" s="7">
        <v>174</v>
      </c>
      <c r="J7" s="8">
        <v>288</v>
      </c>
    </row>
    <row r="8" spans="1:10" x14ac:dyDescent="0.3">
      <c r="A8" s="9" t="s">
        <v>16</v>
      </c>
      <c r="B8" s="10">
        <v>202</v>
      </c>
      <c r="C8" s="10">
        <v>108</v>
      </c>
      <c r="D8" s="10">
        <v>3</v>
      </c>
      <c r="E8" s="10">
        <v>1</v>
      </c>
      <c r="F8" s="10">
        <v>5</v>
      </c>
      <c r="G8" s="10">
        <v>9</v>
      </c>
      <c r="H8" s="10">
        <v>0</v>
      </c>
      <c r="I8" s="10">
        <v>54</v>
      </c>
      <c r="J8" s="11">
        <v>148</v>
      </c>
    </row>
    <row r="9" spans="1:10" x14ac:dyDescent="0.3">
      <c r="A9" s="6" t="s">
        <v>17</v>
      </c>
      <c r="B9" s="7">
        <v>154</v>
      </c>
      <c r="C9" s="7">
        <v>73</v>
      </c>
      <c r="D9" s="7">
        <v>1</v>
      </c>
      <c r="E9" s="7">
        <v>0</v>
      </c>
      <c r="F9" s="7">
        <v>1</v>
      </c>
      <c r="G9" s="7">
        <v>2</v>
      </c>
      <c r="H9" s="7">
        <v>0</v>
      </c>
      <c r="I9" s="7">
        <v>20</v>
      </c>
      <c r="J9" s="8">
        <v>134</v>
      </c>
    </row>
    <row r="10" spans="1:10" x14ac:dyDescent="0.3">
      <c r="A10" s="9" t="s">
        <v>18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1">
        <v>0</v>
      </c>
    </row>
    <row r="11" spans="1:10" x14ac:dyDescent="0.3">
      <c r="A11" s="6" t="s">
        <v>19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8">
        <v>0</v>
      </c>
    </row>
    <row r="12" spans="1:10" x14ac:dyDescent="0.3">
      <c r="A12" s="12" t="s">
        <v>20</v>
      </c>
      <c r="B12" s="13">
        <v>6</v>
      </c>
      <c r="C12" s="13">
        <v>1</v>
      </c>
      <c r="D12" s="13">
        <v>1</v>
      </c>
      <c r="E12" s="13">
        <v>0</v>
      </c>
      <c r="F12" s="13">
        <v>0</v>
      </c>
      <c r="G12" s="13">
        <v>1</v>
      </c>
      <c r="H12" s="13">
        <v>0</v>
      </c>
      <c r="I12" s="13">
        <v>4</v>
      </c>
      <c r="J12" s="14">
        <v>2</v>
      </c>
    </row>
    <row r="13" spans="1:10" x14ac:dyDescent="0.3">
      <c r="A13" s="15" t="s">
        <v>21</v>
      </c>
      <c r="B13" s="16">
        <v>112</v>
      </c>
      <c r="C13" s="16">
        <v>42</v>
      </c>
      <c r="D13" s="16">
        <v>2</v>
      </c>
      <c r="E13" s="16">
        <v>1</v>
      </c>
      <c r="F13" s="16">
        <v>3</v>
      </c>
      <c r="G13" s="16">
        <v>6</v>
      </c>
      <c r="H13" s="16">
        <v>0</v>
      </c>
      <c r="I13" s="16">
        <v>56</v>
      </c>
      <c r="J13" s="17">
        <v>56</v>
      </c>
    </row>
    <row r="14" spans="1:10" x14ac:dyDescent="0.3">
      <c r="A14" s="12" t="s">
        <v>22</v>
      </c>
      <c r="B14" s="13">
        <v>292</v>
      </c>
      <c r="C14" s="13">
        <v>149</v>
      </c>
      <c r="D14" s="13">
        <v>10</v>
      </c>
      <c r="E14" s="13">
        <v>0</v>
      </c>
      <c r="F14" s="13">
        <v>8</v>
      </c>
      <c r="G14" s="13">
        <v>18</v>
      </c>
      <c r="H14" s="13">
        <v>0</v>
      </c>
      <c r="I14" s="13">
        <v>162</v>
      </c>
      <c r="J14" s="14">
        <v>130</v>
      </c>
    </row>
    <row r="15" spans="1:10" x14ac:dyDescent="0.3">
      <c r="A15" s="15" t="s">
        <v>23</v>
      </c>
      <c r="B15" s="16">
        <v>168</v>
      </c>
      <c r="C15" s="16">
        <v>77</v>
      </c>
      <c r="D15" s="16">
        <v>4</v>
      </c>
      <c r="E15" s="16">
        <v>0</v>
      </c>
      <c r="F15" s="16">
        <v>11</v>
      </c>
      <c r="G15" s="16">
        <v>15</v>
      </c>
      <c r="H15" s="16">
        <v>0</v>
      </c>
      <c r="I15" s="16">
        <v>56</v>
      </c>
      <c r="J15" s="17">
        <v>112</v>
      </c>
    </row>
    <row r="16" spans="1:10" x14ac:dyDescent="0.3">
      <c r="A16" s="9" t="s">
        <v>24</v>
      </c>
      <c r="B16" s="10">
        <v>188</v>
      </c>
      <c r="C16" s="10">
        <v>63</v>
      </c>
      <c r="D16" s="10">
        <v>2</v>
      </c>
      <c r="E16" s="10">
        <v>1</v>
      </c>
      <c r="F16" s="10">
        <v>0</v>
      </c>
      <c r="G16" s="10">
        <v>3</v>
      </c>
      <c r="H16" s="10">
        <v>0</v>
      </c>
      <c r="I16" s="10">
        <v>66</v>
      </c>
      <c r="J16" s="11">
        <v>122</v>
      </c>
    </row>
    <row r="17" spans="1:10" x14ac:dyDescent="0.3">
      <c r="A17" s="6" t="s">
        <v>25</v>
      </c>
      <c r="B17" s="7">
        <v>1336</v>
      </c>
      <c r="C17" s="7">
        <v>632</v>
      </c>
      <c r="D17" s="7">
        <v>67</v>
      </c>
      <c r="E17" s="7">
        <v>6</v>
      </c>
      <c r="F17" s="7">
        <v>32</v>
      </c>
      <c r="G17" s="7">
        <v>105</v>
      </c>
      <c r="H17" s="7">
        <v>1</v>
      </c>
      <c r="I17" s="7">
        <v>354</v>
      </c>
      <c r="J17" s="8">
        <v>982</v>
      </c>
    </row>
    <row r="18" spans="1:10" x14ac:dyDescent="0.3">
      <c r="A18" s="9" t="s">
        <v>26</v>
      </c>
      <c r="B18" s="10">
        <v>82</v>
      </c>
      <c r="C18" s="10">
        <v>42</v>
      </c>
      <c r="D18" s="10">
        <v>0</v>
      </c>
      <c r="E18" s="10">
        <v>0</v>
      </c>
      <c r="F18" s="10">
        <v>1</v>
      </c>
      <c r="G18" s="10">
        <v>1</v>
      </c>
      <c r="H18" s="10">
        <v>0</v>
      </c>
      <c r="I18" s="10">
        <v>32</v>
      </c>
      <c r="J18" s="11">
        <v>50</v>
      </c>
    </row>
    <row r="19" spans="1:10" x14ac:dyDescent="0.3">
      <c r="A19" s="6" t="s">
        <v>27</v>
      </c>
      <c r="B19" s="7">
        <v>918</v>
      </c>
      <c r="C19" s="7">
        <v>332</v>
      </c>
      <c r="D19" s="7">
        <v>47</v>
      </c>
      <c r="E19" s="7">
        <v>1</v>
      </c>
      <c r="F19" s="7">
        <v>8</v>
      </c>
      <c r="G19" s="7">
        <v>56</v>
      </c>
      <c r="H19" s="7">
        <v>0</v>
      </c>
      <c r="I19" s="7">
        <v>242</v>
      </c>
      <c r="J19" s="8">
        <v>676</v>
      </c>
    </row>
    <row r="20" spans="1:10" x14ac:dyDescent="0.3">
      <c r="A20" s="9" t="s">
        <v>28</v>
      </c>
      <c r="B20" s="10">
        <v>10</v>
      </c>
      <c r="C20" s="10">
        <v>6</v>
      </c>
      <c r="D20" s="10">
        <v>0</v>
      </c>
      <c r="E20" s="10">
        <v>0</v>
      </c>
      <c r="F20" s="10">
        <v>2</v>
      </c>
      <c r="G20" s="10">
        <v>2</v>
      </c>
      <c r="H20" s="10">
        <v>0</v>
      </c>
      <c r="I20" s="10">
        <v>2</v>
      </c>
      <c r="J20" s="11">
        <v>8</v>
      </c>
    </row>
    <row r="21" spans="1:10" x14ac:dyDescent="0.3">
      <c r="A21" s="6" t="s">
        <v>29</v>
      </c>
      <c r="B21" s="7">
        <v>589</v>
      </c>
      <c r="C21" s="7">
        <v>463</v>
      </c>
      <c r="D21" s="7">
        <v>6</v>
      </c>
      <c r="E21" s="7">
        <v>1</v>
      </c>
      <c r="F21" s="7">
        <v>29</v>
      </c>
      <c r="G21" s="7">
        <v>36</v>
      </c>
      <c r="H21" s="7">
        <v>1</v>
      </c>
      <c r="I21" s="7">
        <v>150</v>
      </c>
      <c r="J21" s="8">
        <v>439</v>
      </c>
    </row>
    <row r="22" spans="1:10" x14ac:dyDescent="0.3">
      <c r="A22" s="9" t="s">
        <v>30</v>
      </c>
      <c r="B22" s="10">
        <v>122</v>
      </c>
      <c r="C22" s="10">
        <v>58</v>
      </c>
      <c r="D22" s="10">
        <v>2</v>
      </c>
      <c r="E22" s="10">
        <v>0</v>
      </c>
      <c r="F22" s="10">
        <v>6</v>
      </c>
      <c r="G22" s="10">
        <v>8</v>
      </c>
      <c r="H22" s="10">
        <v>0</v>
      </c>
      <c r="I22" s="10">
        <v>40</v>
      </c>
      <c r="J22" s="11">
        <v>82</v>
      </c>
    </row>
    <row r="23" spans="1:10" x14ac:dyDescent="0.3">
      <c r="A23" s="6" t="s">
        <v>31</v>
      </c>
      <c r="B23" s="7">
        <v>1676</v>
      </c>
      <c r="C23" s="7">
        <v>567</v>
      </c>
      <c r="D23" s="7">
        <v>173</v>
      </c>
      <c r="E23" s="7">
        <v>13</v>
      </c>
      <c r="F23" s="7">
        <v>43</v>
      </c>
      <c r="G23" s="7">
        <v>229</v>
      </c>
      <c r="H23" s="7">
        <v>2</v>
      </c>
      <c r="I23" s="7">
        <v>306</v>
      </c>
      <c r="J23" s="8">
        <v>1370</v>
      </c>
    </row>
    <row r="24" spans="1:10" x14ac:dyDescent="0.3">
      <c r="A24" s="9" t="s">
        <v>32</v>
      </c>
      <c r="B24" s="10">
        <v>4890</v>
      </c>
      <c r="C24" s="10">
        <v>1777</v>
      </c>
      <c r="D24" s="10">
        <v>243</v>
      </c>
      <c r="E24" s="10">
        <v>86</v>
      </c>
      <c r="F24" s="10">
        <v>94</v>
      </c>
      <c r="G24" s="10">
        <v>423</v>
      </c>
      <c r="H24" s="10">
        <v>3</v>
      </c>
      <c r="I24" s="10">
        <v>520</v>
      </c>
      <c r="J24" s="11">
        <v>4370</v>
      </c>
    </row>
    <row r="25" spans="1:10" x14ac:dyDescent="0.3">
      <c r="A25" s="6" t="s">
        <v>33</v>
      </c>
      <c r="B25" s="7">
        <v>296</v>
      </c>
      <c r="C25" s="7">
        <v>139</v>
      </c>
      <c r="D25" s="7">
        <v>16</v>
      </c>
      <c r="E25" s="7">
        <v>7</v>
      </c>
      <c r="F25" s="7">
        <v>4</v>
      </c>
      <c r="G25" s="7">
        <v>27</v>
      </c>
      <c r="H25" s="7">
        <v>1</v>
      </c>
      <c r="I25" s="7">
        <v>70</v>
      </c>
      <c r="J25" s="8">
        <v>226</v>
      </c>
    </row>
    <row r="26" spans="1:10" x14ac:dyDescent="0.3">
      <c r="A26" s="9" t="s">
        <v>34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1">
        <v>0</v>
      </c>
    </row>
    <row r="27" spans="1:10" x14ac:dyDescent="0.3">
      <c r="A27" s="6" t="s">
        <v>35</v>
      </c>
      <c r="B27" s="7">
        <v>260</v>
      </c>
      <c r="C27" s="7">
        <v>142</v>
      </c>
      <c r="D27" s="7">
        <v>2</v>
      </c>
      <c r="E27" s="7">
        <v>0</v>
      </c>
      <c r="F27" s="7">
        <v>14</v>
      </c>
      <c r="G27" s="7">
        <v>16</v>
      </c>
      <c r="H27" s="7">
        <v>2</v>
      </c>
      <c r="I27" s="7">
        <v>124</v>
      </c>
      <c r="J27" s="8">
        <v>136</v>
      </c>
    </row>
    <row r="28" spans="1:10" x14ac:dyDescent="0.3">
      <c r="A28" s="9" t="s">
        <v>36</v>
      </c>
      <c r="B28" s="10">
        <v>370</v>
      </c>
      <c r="C28" s="10">
        <v>137</v>
      </c>
      <c r="D28" s="10">
        <v>28</v>
      </c>
      <c r="E28" s="10">
        <v>1</v>
      </c>
      <c r="F28" s="10">
        <v>6</v>
      </c>
      <c r="G28" s="10">
        <v>35</v>
      </c>
      <c r="H28" s="10">
        <v>0</v>
      </c>
      <c r="I28" s="10">
        <v>106</v>
      </c>
      <c r="J28" s="11">
        <v>264</v>
      </c>
    </row>
    <row r="29" spans="1:10" x14ac:dyDescent="0.3">
      <c r="A29" s="6" t="s">
        <v>37</v>
      </c>
      <c r="B29" s="7">
        <v>1156</v>
      </c>
      <c r="C29" s="7">
        <v>521</v>
      </c>
      <c r="D29" s="7">
        <v>12</v>
      </c>
      <c r="E29" s="7">
        <v>0</v>
      </c>
      <c r="F29" s="7">
        <v>22</v>
      </c>
      <c r="G29" s="7">
        <v>34</v>
      </c>
      <c r="H29" s="7">
        <v>0</v>
      </c>
      <c r="I29" s="7">
        <v>182</v>
      </c>
      <c r="J29" s="8">
        <v>974</v>
      </c>
    </row>
    <row r="30" spans="1:10" x14ac:dyDescent="0.3">
      <c r="A30" s="9" t="s">
        <v>38</v>
      </c>
      <c r="B30" s="10">
        <v>46</v>
      </c>
      <c r="C30" s="10">
        <v>17</v>
      </c>
      <c r="D30" s="10">
        <v>0</v>
      </c>
      <c r="E30" s="10">
        <v>0</v>
      </c>
      <c r="F30" s="10">
        <v>2</v>
      </c>
      <c r="G30" s="10">
        <v>2</v>
      </c>
      <c r="H30" s="10">
        <v>0</v>
      </c>
      <c r="I30" s="10">
        <v>16</v>
      </c>
      <c r="J30" s="11">
        <v>30</v>
      </c>
    </row>
    <row r="31" spans="1:10" x14ac:dyDescent="0.3">
      <c r="A31" s="6" t="s">
        <v>39</v>
      </c>
      <c r="B31" s="7">
        <v>44</v>
      </c>
      <c r="C31" s="7">
        <v>13</v>
      </c>
      <c r="D31" s="7">
        <v>1</v>
      </c>
      <c r="E31" s="7">
        <v>0</v>
      </c>
      <c r="F31" s="7">
        <v>1</v>
      </c>
      <c r="G31" s="7">
        <v>2</v>
      </c>
      <c r="H31" s="7">
        <v>1</v>
      </c>
      <c r="I31" s="7">
        <v>16</v>
      </c>
      <c r="J31" s="8">
        <v>28</v>
      </c>
    </row>
    <row r="32" spans="1:10" x14ac:dyDescent="0.3">
      <c r="A32" s="9" t="s">
        <v>40</v>
      </c>
      <c r="B32" s="10">
        <v>1348</v>
      </c>
      <c r="C32" s="10">
        <v>452</v>
      </c>
      <c r="D32" s="10">
        <v>79</v>
      </c>
      <c r="E32" s="10">
        <v>2</v>
      </c>
      <c r="F32" s="10">
        <v>58</v>
      </c>
      <c r="G32" s="10">
        <v>139</v>
      </c>
      <c r="H32" s="10">
        <v>6</v>
      </c>
      <c r="I32" s="10">
        <v>434</v>
      </c>
      <c r="J32" s="11">
        <v>914</v>
      </c>
    </row>
    <row r="33" spans="1:10" x14ac:dyDescent="0.3">
      <c r="A33" s="6" t="s">
        <v>41</v>
      </c>
      <c r="B33" s="7">
        <v>1184</v>
      </c>
      <c r="C33" s="7">
        <v>390</v>
      </c>
      <c r="D33" s="7">
        <v>16</v>
      </c>
      <c r="E33" s="7">
        <v>0</v>
      </c>
      <c r="F33" s="7">
        <v>50</v>
      </c>
      <c r="G33" s="7">
        <v>66</v>
      </c>
      <c r="H33" s="7">
        <v>17</v>
      </c>
      <c r="I33" s="7">
        <v>498</v>
      </c>
      <c r="J33" s="8">
        <v>686</v>
      </c>
    </row>
    <row r="34" spans="1:10" x14ac:dyDescent="0.3">
      <c r="A34" s="9" t="s">
        <v>42</v>
      </c>
      <c r="B34" s="10">
        <v>246</v>
      </c>
      <c r="C34" s="10">
        <v>134</v>
      </c>
      <c r="D34" s="10">
        <v>8</v>
      </c>
      <c r="E34" s="10">
        <v>1</v>
      </c>
      <c r="F34" s="10">
        <v>5</v>
      </c>
      <c r="G34" s="10">
        <v>14</v>
      </c>
      <c r="H34" s="10">
        <v>0</v>
      </c>
      <c r="I34" s="10">
        <v>62</v>
      </c>
      <c r="J34" s="11">
        <v>184</v>
      </c>
    </row>
    <row r="35" spans="1:10" x14ac:dyDescent="0.3">
      <c r="A35" s="6" t="s">
        <v>43</v>
      </c>
      <c r="B35" s="7">
        <v>3138</v>
      </c>
      <c r="C35" s="7">
        <v>1264</v>
      </c>
      <c r="D35" s="7">
        <v>170</v>
      </c>
      <c r="E35" s="7">
        <v>16</v>
      </c>
      <c r="F35" s="7">
        <v>67</v>
      </c>
      <c r="G35" s="7">
        <v>253</v>
      </c>
      <c r="H35" s="7">
        <v>14</v>
      </c>
      <c r="I35" s="7">
        <v>516</v>
      </c>
      <c r="J35" s="8">
        <v>2622</v>
      </c>
    </row>
    <row r="36" spans="1:10" x14ac:dyDescent="0.3">
      <c r="A36" s="9" t="s">
        <v>44</v>
      </c>
      <c r="B36" s="10">
        <v>388</v>
      </c>
      <c r="C36" s="10">
        <v>161</v>
      </c>
      <c r="D36" s="10">
        <v>10</v>
      </c>
      <c r="E36" s="10">
        <v>0</v>
      </c>
      <c r="F36" s="10">
        <v>4</v>
      </c>
      <c r="G36" s="10">
        <v>14</v>
      </c>
      <c r="H36" s="10">
        <v>0</v>
      </c>
      <c r="I36" s="10">
        <v>90</v>
      </c>
      <c r="J36" s="11">
        <v>298</v>
      </c>
    </row>
    <row r="37" spans="1:10" x14ac:dyDescent="0.3">
      <c r="A37" s="6" t="s">
        <v>45</v>
      </c>
      <c r="B37" s="7">
        <v>1258</v>
      </c>
      <c r="C37" s="7">
        <v>474</v>
      </c>
      <c r="D37" s="7">
        <v>102</v>
      </c>
      <c r="E37" s="7">
        <v>4</v>
      </c>
      <c r="F37" s="7">
        <v>20</v>
      </c>
      <c r="G37" s="7">
        <v>126</v>
      </c>
      <c r="H37" s="7">
        <v>2</v>
      </c>
      <c r="I37" s="7">
        <v>234</v>
      </c>
      <c r="J37" s="8">
        <v>1024</v>
      </c>
    </row>
    <row r="38" spans="1:10" x14ac:dyDescent="0.3">
      <c r="A38" s="9" t="s">
        <v>46</v>
      </c>
      <c r="B38" s="10">
        <v>41</v>
      </c>
      <c r="C38" s="10">
        <v>34</v>
      </c>
      <c r="D38" s="10">
        <v>0</v>
      </c>
      <c r="E38" s="10">
        <v>0</v>
      </c>
      <c r="F38" s="10">
        <v>2</v>
      </c>
      <c r="G38" s="10">
        <v>2</v>
      </c>
      <c r="H38" s="10">
        <v>0</v>
      </c>
      <c r="I38" s="10">
        <v>4</v>
      </c>
      <c r="J38" s="11">
        <v>37</v>
      </c>
    </row>
    <row r="39" spans="1:10" x14ac:dyDescent="0.3">
      <c r="A39" s="6" t="s">
        <v>47</v>
      </c>
      <c r="B39" s="7">
        <v>206</v>
      </c>
      <c r="C39" s="7">
        <v>53</v>
      </c>
      <c r="D39" s="7">
        <v>19</v>
      </c>
      <c r="E39" s="7">
        <v>0</v>
      </c>
      <c r="F39" s="7">
        <v>0</v>
      </c>
      <c r="G39" s="7">
        <v>19</v>
      </c>
      <c r="H39" s="7">
        <v>0</v>
      </c>
      <c r="I39" s="7">
        <v>76</v>
      </c>
      <c r="J39" s="8">
        <v>130</v>
      </c>
    </row>
    <row r="40" spans="1:10" x14ac:dyDescent="0.3">
      <c r="A40" s="18" t="s">
        <v>48</v>
      </c>
      <c r="B40" s="19">
        <v>14</v>
      </c>
      <c r="C40" s="19">
        <v>4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6</v>
      </c>
      <c r="J40" s="20">
        <v>8</v>
      </c>
    </row>
    <row r="41" spans="1:10" x14ac:dyDescent="0.3">
      <c r="A41" s="21" t="s">
        <v>49</v>
      </c>
      <c r="B41" s="22">
        <v>50</v>
      </c>
      <c r="C41" s="22">
        <v>3</v>
      </c>
      <c r="D41" s="22">
        <v>1</v>
      </c>
      <c r="E41" s="22">
        <v>0</v>
      </c>
      <c r="F41" s="22">
        <v>0</v>
      </c>
      <c r="G41" s="22">
        <v>1</v>
      </c>
      <c r="H41" s="22">
        <v>0</v>
      </c>
      <c r="I41" s="22">
        <v>20</v>
      </c>
      <c r="J41" s="23">
        <v>30</v>
      </c>
    </row>
    <row r="42" spans="1:10" x14ac:dyDescent="0.3">
      <c r="A42" s="18" t="s">
        <v>50</v>
      </c>
      <c r="B42" s="19">
        <v>34</v>
      </c>
      <c r="C42" s="19">
        <v>10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16</v>
      </c>
      <c r="J42" s="20">
        <v>18</v>
      </c>
    </row>
    <row r="43" spans="1:10" x14ac:dyDescent="0.3">
      <c r="A43" s="21" t="s">
        <v>51</v>
      </c>
      <c r="B43" s="22">
        <v>22</v>
      </c>
      <c r="C43" s="22">
        <v>5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10</v>
      </c>
      <c r="J43" s="23">
        <v>12</v>
      </c>
    </row>
    <row r="44" spans="1:10" x14ac:dyDescent="0.3">
      <c r="A44" s="6" t="s">
        <v>52</v>
      </c>
      <c r="B44" s="7">
        <v>120</v>
      </c>
      <c r="C44" s="7">
        <v>46</v>
      </c>
      <c r="D44" s="7">
        <v>4</v>
      </c>
      <c r="E44" s="7">
        <v>0</v>
      </c>
      <c r="F44" s="7">
        <v>2</v>
      </c>
      <c r="G44" s="7">
        <v>6</v>
      </c>
      <c r="H44" s="7">
        <v>0</v>
      </c>
      <c r="I44" s="7">
        <v>42</v>
      </c>
      <c r="J44" s="8">
        <v>78</v>
      </c>
    </row>
    <row r="45" spans="1:10" x14ac:dyDescent="0.3">
      <c r="A45" s="9" t="s">
        <v>53</v>
      </c>
      <c r="B45" s="10">
        <v>1110</v>
      </c>
      <c r="C45" s="10">
        <v>481</v>
      </c>
      <c r="D45" s="10">
        <v>24</v>
      </c>
      <c r="E45" s="10">
        <v>3</v>
      </c>
      <c r="F45" s="10">
        <v>14</v>
      </c>
      <c r="G45" s="10">
        <v>41</v>
      </c>
      <c r="H45" s="10">
        <v>0</v>
      </c>
      <c r="I45" s="10">
        <v>308</v>
      </c>
      <c r="J45" s="11">
        <v>802</v>
      </c>
    </row>
    <row r="46" spans="1:10" x14ac:dyDescent="0.3">
      <c r="A46" s="6" t="s">
        <v>54</v>
      </c>
      <c r="B46" s="7">
        <v>1502</v>
      </c>
      <c r="C46" s="7">
        <v>697</v>
      </c>
      <c r="D46" s="7">
        <v>1</v>
      </c>
      <c r="E46" s="7">
        <v>3</v>
      </c>
      <c r="F46" s="7">
        <v>27</v>
      </c>
      <c r="G46" s="7">
        <v>31</v>
      </c>
      <c r="H46" s="7">
        <v>0</v>
      </c>
      <c r="I46" s="7">
        <v>196</v>
      </c>
      <c r="J46" s="8">
        <v>1306</v>
      </c>
    </row>
    <row r="47" spans="1:10" x14ac:dyDescent="0.3">
      <c r="A47" s="9" t="s">
        <v>55</v>
      </c>
      <c r="B47" s="10">
        <v>512</v>
      </c>
      <c r="C47" s="10">
        <v>189</v>
      </c>
      <c r="D47" s="10">
        <v>6</v>
      </c>
      <c r="E47" s="10">
        <v>0</v>
      </c>
      <c r="F47" s="10">
        <v>38</v>
      </c>
      <c r="G47" s="10">
        <v>44</v>
      </c>
      <c r="H47" s="10">
        <v>11</v>
      </c>
      <c r="I47" s="10">
        <v>76</v>
      </c>
      <c r="J47" s="11">
        <v>436</v>
      </c>
    </row>
    <row r="48" spans="1:10" x14ac:dyDescent="0.3">
      <c r="A48" s="6" t="s">
        <v>56</v>
      </c>
      <c r="B48" s="7">
        <v>792</v>
      </c>
      <c r="C48" s="7">
        <v>344</v>
      </c>
      <c r="D48" s="7">
        <v>35</v>
      </c>
      <c r="E48" s="7">
        <v>3</v>
      </c>
      <c r="F48" s="7">
        <v>9</v>
      </c>
      <c r="G48" s="7">
        <v>47</v>
      </c>
      <c r="H48" s="7">
        <v>0</v>
      </c>
      <c r="I48" s="7">
        <v>260</v>
      </c>
      <c r="J48" s="8">
        <v>532</v>
      </c>
    </row>
    <row r="49" spans="1:10" x14ac:dyDescent="0.3">
      <c r="A49" s="9" t="s">
        <v>57</v>
      </c>
      <c r="B49" s="10">
        <v>1788</v>
      </c>
      <c r="C49" s="10">
        <v>748</v>
      </c>
      <c r="D49" s="10">
        <v>110</v>
      </c>
      <c r="E49" s="10">
        <v>4</v>
      </c>
      <c r="F49" s="10">
        <v>29</v>
      </c>
      <c r="G49" s="10">
        <v>143</v>
      </c>
      <c r="H49" s="10">
        <v>11</v>
      </c>
      <c r="I49" s="10">
        <v>352</v>
      </c>
      <c r="J49" s="11">
        <v>1436</v>
      </c>
    </row>
    <row r="50" spans="1:10" x14ac:dyDescent="0.3">
      <c r="A50" s="6" t="s">
        <v>58</v>
      </c>
      <c r="B50" s="7">
        <v>153</v>
      </c>
      <c r="C50" s="7">
        <v>86</v>
      </c>
      <c r="D50" s="7">
        <v>10</v>
      </c>
      <c r="E50" s="7">
        <v>2</v>
      </c>
      <c r="F50" s="7">
        <v>4</v>
      </c>
      <c r="G50" s="7">
        <v>16</v>
      </c>
      <c r="H50" s="7">
        <v>1</v>
      </c>
      <c r="I50" s="7">
        <v>20</v>
      </c>
      <c r="J50" s="8">
        <v>133</v>
      </c>
    </row>
    <row r="51" spans="1:10" x14ac:dyDescent="0.3">
      <c r="A51" s="9" t="s">
        <v>59</v>
      </c>
      <c r="B51" s="10">
        <v>640</v>
      </c>
      <c r="C51" s="10">
        <v>294</v>
      </c>
      <c r="D51" s="10">
        <v>25</v>
      </c>
      <c r="E51" s="10">
        <v>1</v>
      </c>
      <c r="F51" s="10">
        <v>10</v>
      </c>
      <c r="G51" s="10">
        <v>36</v>
      </c>
      <c r="H51" s="10">
        <v>0</v>
      </c>
      <c r="I51" s="10">
        <v>148</v>
      </c>
      <c r="J51" s="11">
        <v>492</v>
      </c>
    </row>
    <row r="52" spans="1:10" x14ac:dyDescent="0.3">
      <c r="A52" s="6" t="s">
        <v>60</v>
      </c>
      <c r="B52" s="7">
        <v>122</v>
      </c>
      <c r="C52" s="7">
        <v>55</v>
      </c>
      <c r="D52" s="7">
        <v>0</v>
      </c>
      <c r="E52" s="7">
        <v>0</v>
      </c>
      <c r="F52" s="7">
        <v>1</v>
      </c>
      <c r="G52" s="7">
        <v>1</v>
      </c>
      <c r="H52" s="7">
        <v>0</v>
      </c>
      <c r="I52" s="7">
        <v>32</v>
      </c>
      <c r="J52" s="8">
        <v>90</v>
      </c>
    </row>
    <row r="53" spans="1:10" x14ac:dyDescent="0.3">
      <c r="A53" s="9" t="s">
        <v>61</v>
      </c>
      <c r="B53" s="10">
        <v>88</v>
      </c>
      <c r="C53" s="10">
        <v>33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46</v>
      </c>
      <c r="J53" s="11">
        <v>42</v>
      </c>
    </row>
    <row r="54" spans="1:10" x14ac:dyDescent="0.3">
      <c r="A54" s="6" t="s">
        <v>62</v>
      </c>
      <c r="B54" s="7">
        <v>670</v>
      </c>
      <c r="C54" s="7">
        <v>361</v>
      </c>
      <c r="D54" s="7">
        <v>11</v>
      </c>
      <c r="E54" s="7">
        <v>2</v>
      </c>
      <c r="F54" s="7">
        <v>14</v>
      </c>
      <c r="G54" s="7">
        <v>27</v>
      </c>
      <c r="H54" s="7">
        <v>2</v>
      </c>
      <c r="I54" s="7">
        <v>172</v>
      </c>
      <c r="J54" s="8">
        <v>498</v>
      </c>
    </row>
    <row r="55" spans="1:10" x14ac:dyDescent="0.3">
      <c r="A55" s="30" t="s">
        <v>63</v>
      </c>
      <c r="B55" s="31">
        <f>SUM(B12,B13,B14,B15)</f>
        <v>578</v>
      </c>
      <c r="C55" s="31">
        <f t="shared" ref="C55:J55" si="0">SUM(C12,C13,C14,C15)</f>
        <v>269</v>
      </c>
      <c r="D55" s="31">
        <f t="shared" si="0"/>
        <v>17</v>
      </c>
      <c r="E55" s="31">
        <f t="shared" si="0"/>
        <v>1</v>
      </c>
      <c r="F55" s="31">
        <f t="shared" si="0"/>
        <v>22</v>
      </c>
      <c r="G55" s="31">
        <f t="shared" si="0"/>
        <v>40</v>
      </c>
      <c r="H55" s="31">
        <f t="shared" si="0"/>
        <v>0</v>
      </c>
      <c r="I55" s="31">
        <f t="shared" si="0"/>
        <v>278</v>
      </c>
      <c r="J55" s="32">
        <f t="shared" si="0"/>
        <v>300</v>
      </c>
    </row>
    <row r="56" spans="1:10" x14ac:dyDescent="0.3">
      <c r="A56" s="27" t="s">
        <v>64</v>
      </c>
      <c r="B56" s="28">
        <f>SUM(B40,B41,B42,B43)</f>
        <v>120</v>
      </c>
      <c r="C56" s="28">
        <f t="shared" ref="C56:J56" si="1">SUM(C40,C41,C42,C43)</f>
        <v>22</v>
      </c>
      <c r="D56" s="28">
        <f t="shared" si="1"/>
        <v>1</v>
      </c>
      <c r="E56" s="28">
        <f t="shared" si="1"/>
        <v>0</v>
      </c>
      <c r="F56" s="28">
        <f t="shared" si="1"/>
        <v>0</v>
      </c>
      <c r="G56" s="28">
        <f t="shared" si="1"/>
        <v>1</v>
      </c>
      <c r="H56" s="28">
        <f t="shared" si="1"/>
        <v>0</v>
      </c>
      <c r="I56" s="28">
        <f t="shared" si="1"/>
        <v>52</v>
      </c>
      <c r="J56" s="29">
        <f t="shared" si="1"/>
        <v>68</v>
      </c>
    </row>
    <row r="57" spans="1:10" x14ac:dyDescent="0.3">
      <c r="A57" s="24" t="s">
        <v>65</v>
      </c>
      <c r="B57" s="25">
        <f>SUM(B2:B54)</f>
        <v>39403</v>
      </c>
      <c r="C57" s="25">
        <f t="shared" ref="C57:J57" si="2">SUM(C2:C54)</f>
        <v>16098</v>
      </c>
      <c r="D57" s="25">
        <f t="shared" si="2"/>
        <v>1743</v>
      </c>
      <c r="E57" s="25">
        <f t="shared" si="2"/>
        <v>207</v>
      </c>
      <c r="F57" s="25">
        <f t="shared" si="2"/>
        <v>881</v>
      </c>
      <c r="G57" s="25">
        <f t="shared" si="2"/>
        <v>2831</v>
      </c>
      <c r="H57" s="25">
        <f t="shared" si="2"/>
        <v>116</v>
      </c>
      <c r="I57" s="25">
        <f t="shared" si="2"/>
        <v>8404</v>
      </c>
      <c r="J57" s="26">
        <f t="shared" si="2"/>
        <v>30999</v>
      </c>
    </row>
  </sheetData>
  <autoFilter ref="A1:J57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style="1" customWidth="1"/>
    <col min="2" max="10" width="15.6640625" customWidth="1"/>
  </cols>
  <sheetData>
    <row r="1" spans="1:10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>
        <v>3562</v>
      </c>
      <c r="C2" s="4">
        <v>1474</v>
      </c>
      <c r="D2" s="4">
        <v>75</v>
      </c>
      <c r="E2" s="4">
        <v>13</v>
      </c>
      <c r="F2" s="4">
        <v>67</v>
      </c>
      <c r="G2" s="4">
        <v>155</v>
      </c>
      <c r="H2" s="4">
        <v>5</v>
      </c>
      <c r="I2" s="4">
        <v>490</v>
      </c>
      <c r="J2" s="5">
        <v>3072</v>
      </c>
    </row>
    <row r="3" spans="1:10" x14ac:dyDescent="0.3">
      <c r="A3" s="6" t="s">
        <v>11</v>
      </c>
      <c r="B3" s="7">
        <v>1298</v>
      </c>
      <c r="C3" s="7">
        <v>531</v>
      </c>
      <c r="D3" s="7">
        <v>28</v>
      </c>
      <c r="E3" s="7">
        <v>10</v>
      </c>
      <c r="F3" s="7">
        <v>18</v>
      </c>
      <c r="G3" s="7">
        <v>56</v>
      </c>
      <c r="H3" s="7">
        <v>1</v>
      </c>
      <c r="I3" s="7">
        <v>188</v>
      </c>
      <c r="J3" s="8">
        <v>1110</v>
      </c>
    </row>
    <row r="4" spans="1:10" x14ac:dyDescent="0.3">
      <c r="A4" s="9" t="s">
        <v>12</v>
      </c>
      <c r="B4" s="10">
        <v>2654</v>
      </c>
      <c r="C4" s="10">
        <v>1148</v>
      </c>
      <c r="D4" s="10">
        <v>107</v>
      </c>
      <c r="E4" s="10">
        <v>31</v>
      </c>
      <c r="F4" s="10">
        <v>90</v>
      </c>
      <c r="G4" s="10">
        <v>228</v>
      </c>
      <c r="H4" s="10">
        <v>0</v>
      </c>
      <c r="I4" s="10">
        <v>448</v>
      </c>
      <c r="J4" s="11">
        <v>2206</v>
      </c>
    </row>
    <row r="5" spans="1:10" x14ac:dyDescent="0.3">
      <c r="A5" s="6" t="s">
        <v>13</v>
      </c>
      <c r="B5" s="7">
        <v>46</v>
      </c>
      <c r="C5" s="7">
        <v>13</v>
      </c>
      <c r="D5" s="7">
        <v>0</v>
      </c>
      <c r="E5" s="7">
        <v>0</v>
      </c>
      <c r="F5" s="7">
        <v>1</v>
      </c>
      <c r="G5" s="7">
        <v>1</v>
      </c>
      <c r="H5" s="7">
        <v>0</v>
      </c>
      <c r="I5" s="7">
        <v>26</v>
      </c>
      <c r="J5" s="8">
        <v>20</v>
      </c>
    </row>
    <row r="6" spans="1:10" x14ac:dyDescent="0.3">
      <c r="A6" s="9" t="s">
        <v>14</v>
      </c>
      <c r="B6" s="10">
        <v>3084</v>
      </c>
      <c r="C6" s="10">
        <v>1175</v>
      </c>
      <c r="D6" s="10">
        <v>219</v>
      </c>
      <c r="E6" s="10">
        <v>5</v>
      </c>
      <c r="F6" s="10">
        <v>111</v>
      </c>
      <c r="G6" s="10">
        <v>335</v>
      </c>
      <c r="H6" s="10">
        <v>16</v>
      </c>
      <c r="I6" s="10">
        <v>794</v>
      </c>
      <c r="J6" s="11">
        <v>2290</v>
      </c>
    </row>
    <row r="7" spans="1:10" x14ac:dyDescent="0.3">
      <c r="A7" s="6" t="s">
        <v>15</v>
      </c>
      <c r="B7" s="7">
        <v>732</v>
      </c>
      <c r="C7" s="7">
        <v>272</v>
      </c>
      <c r="D7" s="7">
        <v>4</v>
      </c>
      <c r="E7" s="7">
        <v>1</v>
      </c>
      <c r="F7" s="7">
        <v>14</v>
      </c>
      <c r="G7" s="7">
        <v>19</v>
      </c>
      <c r="H7" s="7">
        <v>0</v>
      </c>
      <c r="I7" s="7">
        <v>202</v>
      </c>
      <c r="J7" s="8">
        <v>530</v>
      </c>
    </row>
    <row r="8" spans="1:10" x14ac:dyDescent="0.3">
      <c r="A8" s="9" t="s">
        <v>16</v>
      </c>
      <c r="B8" s="10">
        <v>252</v>
      </c>
      <c r="C8" s="10">
        <v>116</v>
      </c>
      <c r="D8" s="10">
        <v>0</v>
      </c>
      <c r="E8" s="10">
        <v>1</v>
      </c>
      <c r="F8" s="10">
        <v>5</v>
      </c>
      <c r="G8" s="10">
        <v>6</v>
      </c>
      <c r="H8" s="10">
        <v>1</v>
      </c>
      <c r="I8" s="10">
        <v>72</v>
      </c>
      <c r="J8" s="11">
        <v>180</v>
      </c>
    </row>
    <row r="9" spans="1:10" x14ac:dyDescent="0.3">
      <c r="A9" s="6" t="s">
        <v>17</v>
      </c>
      <c r="B9" s="7">
        <v>98</v>
      </c>
      <c r="C9" s="7">
        <v>47</v>
      </c>
      <c r="D9" s="7">
        <v>0</v>
      </c>
      <c r="E9" s="7">
        <v>0</v>
      </c>
      <c r="F9" s="7">
        <v>1</v>
      </c>
      <c r="G9" s="7">
        <v>1</v>
      </c>
      <c r="H9" s="7">
        <v>0</v>
      </c>
      <c r="I9" s="7">
        <v>28</v>
      </c>
      <c r="J9" s="8">
        <v>70</v>
      </c>
    </row>
    <row r="10" spans="1:10" x14ac:dyDescent="0.3">
      <c r="A10" s="9" t="s">
        <v>18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  <c r="J10" s="11">
        <v>0</v>
      </c>
    </row>
    <row r="11" spans="1:10" x14ac:dyDescent="0.3">
      <c r="A11" s="6" t="s">
        <v>19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8">
        <v>0</v>
      </c>
    </row>
    <row r="12" spans="1:10" x14ac:dyDescent="0.3">
      <c r="A12" s="12" t="s">
        <v>20</v>
      </c>
      <c r="B12" s="13">
        <v>8</v>
      </c>
      <c r="C12" s="13">
        <v>7</v>
      </c>
      <c r="D12" s="13">
        <v>2</v>
      </c>
      <c r="E12" s="13">
        <v>0</v>
      </c>
      <c r="F12" s="13">
        <v>0</v>
      </c>
      <c r="G12" s="13">
        <v>2</v>
      </c>
      <c r="H12" s="13">
        <v>0</v>
      </c>
      <c r="I12" s="13">
        <v>4</v>
      </c>
      <c r="J12" s="14">
        <v>4</v>
      </c>
    </row>
    <row r="13" spans="1:10" x14ac:dyDescent="0.3">
      <c r="A13" s="15" t="s">
        <v>21</v>
      </c>
      <c r="B13" s="16">
        <v>86</v>
      </c>
      <c r="C13" s="16">
        <v>35</v>
      </c>
      <c r="D13" s="16">
        <v>11</v>
      </c>
      <c r="E13" s="16">
        <v>0</v>
      </c>
      <c r="F13" s="16">
        <v>0</v>
      </c>
      <c r="G13" s="16">
        <v>11</v>
      </c>
      <c r="H13" s="16">
        <v>0</v>
      </c>
      <c r="I13" s="16">
        <v>18</v>
      </c>
      <c r="J13" s="17">
        <v>68</v>
      </c>
    </row>
    <row r="14" spans="1:10" x14ac:dyDescent="0.3">
      <c r="A14" s="12" t="s">
        <v>22</v>
      </c>
      <c r="B14" s="13">
        <v>566</v>
      </c>
      <c r="C14" s="13">
        <v>213</v>
      </c>
      <c r="D14" s="13">
        <v>9</v>
      </c>
      <c r="E14" s="13">
        <v>4</v>
      </c>
      <c r="F14" s="13">
        <v>11</v>
      </c>
      <c r="G14" s="13">
        <v>24</v>
      </c>
      <c r="H14" s="13">
        <v>0</v>
      </c>
      <c r="I14" s="13">
        <v>232</v>
      </c>
      <c r="J14" s="14">
        <v>334</v>
      </c>
    </row>
    <row r="15" spans="1:10" x14ac:dyDescent="0.3">
      <c r="A15" s="15" t="s">
        <v>23</v>
      </c>
      <c r="B15" s="16">
        <v>106</v>
      </c>
      <c r="C15" s="16">
        <v>53</v>
      </c>
      <c r="D15" s="16">
        <v>7</v>
      </c>
      <c r="E15" s="16">
        <v>1</v>
      </c>
      <c r="F15" s="16">
        <v>5</v>
      </c>
      <c r="G15" s="16">
        <v>13</v>
      </c>
      <c r="H15" s="16">
        <v>0</v>
      </c>
      <c r="I15" s="16">
        <v>46</v>
      </c>
      <c r="J15" s="17">
        <v>60</v>
      </c>
    </row>
    <row r="16" spans="1:10" x14ac:dyDescent="0.3">
      <c r="A16" s="9" t="s">
        <v>24</v>
      </c>
      <c r="B16" s="10">
        <v>114</v>
      </c>
      <c r="C16" s="10">
        <v>63</v>
      </c>
      <c r="D16" s="10">
        <v>2</v>
      </c>
      <c r="E16" s="10">
        <v>0</v>
      </c>
      <c r="F16" s="10">
        <v>2</v>
      </c>
      <c r="G16" s="10">
        <v>4</v>
      </c>
      <c r="H16" s="10">
        <v>0</v>
      </c>
      <c r="I16" s="10">
        <v>64</v>
      </c>
      <c r="J16" s="11">
        <v>50</v>
      </c>
    </row>
    <row r="17" spans="1:10" x14ac:dyDescent="0.3">
      <c r="A17" s="6" t="s">
        <v>25</v>
      </c>
      <c r="B17" s="7">
        <v>1126</v>
      </c>
      <c r="C17" s="7">
        <v>473</v>
      </c>
      <c r="D17" s="7">
        <v>64</v>
      </c>
      <c r="E17" s="7">
        <v>7</v>
      </c>
      <c r="F17" s="7">
        <v>19</v>
      </c>
      <c r="G17" s="7">
        <v>90</v>
      </c>
      <c r="H17" s="7">
        <v>0</v>
      </c>
      <c r="I17" s="7">
        <v>366</v>
      </c>
      <c r="J17" s="8">
        <v>760</v>
      </c>
    </row>
    <row r="18" spans="1:10" x14ac:dyDescent="0.3">
      <c r="A18" s="9" t="s">
        <v>26</v>
      </c>
      <c r="B18" s="10">
        <v>140</v>
      </c>
      <c r="C18" s="10">
        <v>68</v>
      </c>
      <c r="D18" s="10">
        <v>1</v>
      </c>
      <c r="E18" s="10">
        <v>0</v>
      </c>
      <c r="F18" s="10">
        <v>2</v>
      </c>
      <c r="G18" s="10">
        <v>3</v>
      </c>
      <c r="H18" s="10">
        <v>1</v>
      </c>
      <c r="I18" s="10">
        <v>48</v>
      </c>
      <c r="J18" s="11">
        <v>92</v>
      </c>
    </row>
    <row r="19" spans="1:10" x14ac:dyDescent="0.3">
      <c r="A19" s="6" t="s">
        <v>27</v>
      </c>
      <c r="B19" s="7">
        <v>938</v>
      </c>
      <c r="C19" s="7">
        <v>412</v>
      </c>
      <c r="D19" s="7">
        <v>32</v>
      </c>
      <c r="E19" s="7">
        <v>0</v>
      </c>
      <c r="F19" s="7">
        <v>21</v>
      </c>
      <c r="G19" s="7">
        <v>53</v>
      </c>
      <c r="H19" s="7">
        <v>2</v>
      </c>
      <c r="I19" s="7">
        <v>254</v>
      </c>
      <c r="J19" s="8">
        <v>684</v>
      </c>
    </row>
    <row r="20" spans="1:10" x14ac:dyDescent="0.3">
      <c r="A20" s="9" t="s">
        <v>28</v>
      </c>
      <c r="B20" s="10">
        <v>8</v>
      </c>
      <c r="C20" s="10">
        <v>6</v>
      </c>
      <c r="D20" s="10">
        <v>1</v>
      </c>
      <c r="E20" s="10">
        <v>0</v>
      </c>
      <c r="F20" s="10">
        <v>1</v>
      </c>
      <c r="G20" s="10">
        <v>2</v>
      </c>
      <c r="H20" s="10">
        <v>0</v>
      </c>
      <c r="I20" s="10">
        <v>10</v>
      </c>
      <c r="J20" s="11">
        <v>-2</v>
      </c>
    </row>
    <row r="21" spans="1:10" x14ac:dyDescent="0.3">
      <c r="A21" s="6" t="s">
        <v>29</v>
      </c>
      <c r="B21" s="7">
        <v>1166</v>
      </c>
      <c r="C21" s="7">
        <v>553</v>
      </c>
      <c r="D21" s="7">
        <v>24</v>
      </c>
      <c r="E21" s="7">
        <v>7</v>
      </c>
      <c r="F21" s="7">
        <v>30</v>
      </c>
      <c r="G21" s="7">
        <v>61</v>
      </c>
      <c r="H21" s="7">
        <v>2</v>
      </c>
      <c r="I21" s="7">
        <v>208</v>
      </c>
      <c r="J21" s="8">
        <v>958</v>
      </c>
    </row>
    <row r="22" spans="1:10" x14ac:dyDescent="0.3">
      <c r="A22" s="9" t="s">
        <v>30</v>
      </c>
      <c r="B22" s="10">
        <v>152</v>
      </c>
      <c r="C22" s="10">
        <v>59</v>
      </c>
      <c r="D22" s="10">
        <v>2</v>
      </c>
      <c r="E22" s="10">
        <v>0</v>
      </c>
      <c r="F22" s="10">
        <v>3</v>
      </c>
      <c r="G22" s="10">
        <v>5</v>
      </c>
      <c r="H22" s="10">
        <v>0</v>
      </c>
      <c r="I22" s="10">
        <v>56</v>
      </c>
      <c r="J22" s="11">
        <v>96</v>
      </c>
    </row>
    <row r="23" spans="1:10" x14ac:dyDescent="0.3">
      <c r="A23" s="6" t="s">
        <v>31</v>
      </c>
      <c r="B23" s="7">
        <v>1490</v>
      </c>
      <c r="C23" s="7">
        <v>591</v>
      </c>
      <c r="D23" s="7">
        <v>128</v>
      </c>
      <c r="E23" s="7">
        <v>4</v>
      </c>
      <c r="F23" s="7">
        <v>29</v>
      </c>
      <c r="G23" s="7">
        <v>161</v>
      </c>
      <c r="H23" s="7">
        <v>4</v>
      </c>
      <c r="I23" s="7">
        <v>202</v>
      </c>
      <c r="J23" s="8">
        <v>1288</v>
      </c>
    </row>
    <row r="24" spans="1:10" x14ac:dyDescent="0.3">
      <c r="A24" s="9" t="s">
        <v>32</v>
      </c>
      <c r="B24" s="10">
        <v>4212</v>
      </c>
      <c r="C24" s="10">
        <v>1628</v>
      </c>
      <c r="D24" s="10">
        <v>339</v>
      </c>
      <c r="E24" s="10">
        <v>28</v>
      </c>
      <c r="F24" s="10">
        <v>85</v>
      </c>
      <c r="G24" s="10">
        <v>452</v>
      </c>
      <c r="H24" s="10">
        <v>4</v>
      </c>
      <c r="I24" s="10">
        <v>598</v>
      </c>
      <c r="J24" s="11">
        <v>3614</v>
      </c>
    </row>
    <row r="25" spans="1:10" x14ac:dyDescent="0.3">
      <c r="A25" s="6" t="s">
        <v>33</v>
      </c>
      <c r="B25" s="7">
        <v>306</v>
      </c>
      <c r="C25" s="7">
        <v>98</v>
      </c>
      <c r="D25" s="7">
        <v>27</v>
      </c>
      <c r="E25" s="7">
        <v>2</v>
      </c>
      <c r="F25" s="7">
        <v>4</v>
      </c>
      <c r="G25" s="7">
        <v>33</v>
      </c>
      <c r="H25" s="7">
        <v>0</v>
      </c>
      <c r="I25" s="7">
        <v>96</v>
      </c>
      <c r="J25" s="8">
        <v>210</v>
      </c>
    </row>
    <row r="26" spans="1:10" x14ac:dyDescent="0.3">
      <c r="A26" s="9" t="s">
        <v>34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1">
        <v>0</v>
      </c>
    </row>
    <row r="27" spans="1:10" x14ac:dyDescent="0.3">
      <c r="A27" s="6" t="s">
        <v>35</v>
      </c>
      <c r="B27" s="7">
        <v>120</v>
      </c>
      <c r="C27" s="7">
        <v>95</v>
      </c>
      <c r="D27" s="7">
        <v>4</v>
      </c>
      <c r="E27" s="7">
        <v>3</v>
      </c>
      <c r="F27" s="7">
        <v>7</v>
      </c>
      <c r="G27" s="7">
        <v>14</v>
      </c>
      <c r="H27" s="7">
        <v>0</v>
      </c>
      <c r="I27" s="7">
        <v>42</v>
      </c>
      <c r="J27" s="8">
        <v>78</v>
      </c>
    </row>
    <row r="28" spans="1:10" x14ac:dyDescent="0.3">
      <c r="A28" s="9" t="s">
        <v>36</v>
      </c>
      <c r="B28" s="10">
        <v>380</v>
      </c>
      <c r="C28" s="10">
        <v>186</v>
      </c>
      <c r="D28" s="10">
        <v>17</v>
      </c>
      <c r="E28" s="10">
        <v>1</v>
      </c>
      <c r="F28" s="10">
        <v>4</v>
      </c>
      <c r="G28" s="10">
        <v>22</v>
      </c>
      <c r="H28" s="10">
        <v>0</v>
      </c>
      <c r="I28" s="10">
        <v>86</v>
      </c>
      <c r="J28" s="11">
        <v>294</v>
      </c>
    </row>
    <row r="29" spans="1:10" x14ac:dyDescent="0.3">
      <c r="A29" s="6" t="s">
        <v>37</v>
      </c>
      <c r="B29" s="7">
        <v>1170</v>
      </c>
      <c r="C29" s="7">
        <v>575</v>
      </c>
      <c r="D29" s="7">
        <v>7</v>
      </c>
      <c r="E29" s="7">
        <v>4</v>
      </c>
      <c r="F29" s="7">
        <v>17</v>
      </c>
      <c r="G29" s="7">
        <v>28</v>
      </c>
      <c r="H29" s="7">
        <v>0</v>
      </c>
      <c r="I29" s="7">
        <v>322</v>
      </c>
      <c r="J29" s="8">
        <v>848</v>
      </c>
    </row>
    <row r="30" spans="1:10" x14ac:dyDescent="0.3">
      <c r="A30" s="9" t="s">
        <v>38</v>
      </c>
      <c r="B30" s="10">
        <v>32</v>
      </c>
      <c r="C30" s="10">
        <v>19</v>
      </c>
      <c r="D30" s="10">
        <v>0</v>
      </c>
      <c r="E30" s="10">
        <v>0</v>
      </c>
      <c r="F30" s="10">
        <v>4</v>
      </c>
      <c r="G30" s="10">
        <v>4</v>
      </c>
      <c r="H30" s="10">
        <v>0</v>
      </c>
      <c r="I30" s="10">
        <v>16</v>
      </c>
      <c r="J30" s="11">
        <v>16</v>
      </c>
    </row>
    <row r="31" spans="1:10" x14ac:dyDescent="0.3">
      <c r="A31" s="6" t="s">
        <v>39</v>
      </c>
      <c r="B31" s="7">
        <v>114</v>
      </c>
      <c r="C31" s="7">
        <v>47</v>
      </c>
      <c r="D31" s="7">
        <v>1</v>
      </c>
      <c r="E31" s="7">
        <v>0</v>
      </c>
      <c r="F31" s="7">
        <v>7</v>
      </c>
      <c r="G31" s="7">
        <v>8</v>
      </c>
      <c r="H31" s="7">
        <v>3</v>
      </c>
      <c r="I31" s="7">
        <v>24</v>
      </c>
      <c r="J31" s="8">
        <v>90</v>
      </c>
    </row>
    <row r="32" spans="1:10" x14ac:dyDescent="0.3">
      <c r="A32" s="9" t="s">
        <v>40</v>
      </c>
      <c r="B32" s="10">
        <v>1288</v>
      </c>
      <c r="C32" s="10">
        <v>527</v>
      </c>
      <c r="D32" s="10">
        <v>83</v>
      </c>
      <c r="E32" s="10">
        <v>3</v>
      </c>
      <c r="F32" s="10">
        <v>85</v>
      </c>
      <c r="G32" s="10">
        <v>171</v>
      </c>
      <c r="H32" s="10">
        <v>9</v>
      </c>
      <c r="I32" s="10">
        <v>426</v>
      </c>
      <c r="J32" s="11">
        <v>862</v>
      </c>
    </row>
    <row r="33" spans="1:10" x14ac:dyDescent="0.3">
      <c r="A33" s="6" t="s">
        <v>41</v>
      </c>
      <c r="B33" s="7">
        <v>630</v>
      </c>
      <c r="C33" s="7">
        <v>325</v>
      </c>
      <c r="D33" s="7">
        <v>7</v>
      </c>
      <c r="E33" s="7">
        <v>3</v>
      </c>
      <c r="F33" s="7">
        <v>59</v>
      </c>
      <c r="G33" s="7">
        <v>69</v>
      </c>
      <c r="H33" s="7">
        <v>12</v>
      </c>
      <c r="I33" s="7">
        <v>222</v>
      </c>
      <c r="J33" s="8">
        <v>408</v>
      </c>
    </row>
    <row r="34" spans="1:10" x14ac:dyDescent="0.3">
      <c r="A34" s="9" t="s">
        <v>42</v>
      </c>
      <c r="B34" s="10">
        <v>13</v>
      </c>
      <c r="C34" s="10">
        <v>0</v>
      </c>
      <c r="D34" s="10">
        <v>9</v>
      </c>
      <c r="E34" s="10">
        <v>2</v>
      </c>
      <c r="F34" s="10">
        <v>0</v>
      </c>
      <c r="G34" s="10">
        <v>11</v>
      </c>
      <c r="H34" s="10">
        <v>0</v>
      </c>
      <c r="I34" s="10">
        <v>0</v>
      </c>
      <c r="J34" s="11">
        <v>13</v>
      </c>
    </row>
    <row r="35" spans="1:10" x14ac:dyDescent="0.3">
      <c r="A35" s="6" t="s">
        <v>43</v>
      </c>
      <c r="B35" s="7">
        <v>3022</v>
      </c>
      <c r="C35" s="7">
        <v>1149</v>
      </c>
      <c r="D35" s="7">
        <v>196</v>
      </c>
      <c r="E35" s="7">
        <v>4</v>
      </c>
      <c r="F35" s="7">
        <v>62</v>
      </c>
      <c r="G35" s="7">
        <v>262</v>
      </c>
      <c r="H35" s="7">
        <v>0</v>
      </c>
      <c r="I35" s="7">
        <v>626</v>
      </c>
      <c r="J35" s="8">
        <v>2396</v>
      </c>
    </row>
    <row r="36" spans="1:10" x14ac:dyDescent="0.3">
      <c r="A36" s="9" t="s">
        <v>44</v>
      </c>
      <c r="B36" s="10">
        <v>328</v>
      </c>
      <c r="C36" s="10">
        <v>133</v>
      </c>
      <c r="D36" s="10">
        <v>8</v>
      </c>
      <c r="E36" s="10">
        <v>3</v>
      </c>
      <c r="F36" s="10">
        <v>6</v>
      </c>
      <c r="G36" s="10">
        <v>17</v>
      </c>
      <c r="H36" s="10">
        <v>1</v>
      </c>
      <c r="I36" s="10">
        <v>110</v>
      </c>
      <c r="J36" s="11">
        <v>218</v>
      </c>
    </row>
    <row r="37" spans="1:10" x14ac:dyDescent="0.3">
      <c r="A37" s="6" t="s">
        <v>45</v>
      </c>
      <c r="B37" s="7">
        <v>1402</v>
      </c>
      <c r="C37" s="7">
        <v>476</v>
      </c>
      <c r="D37" s="7">
        <v>95</v>
      </c>
      <c r="E37" s="7">
        <v>6</v>
      </c>
      <c r="F37" s="7">
        <v>30</v>
      </c>
      <c r="G37" s="7">
        <v>131</v>
      </c>
      <c r="H37" s="7">
        <v>1</v>
      </c>
      <c r="I37" s="7">
        <v>412</v>
      </c>
      <c r="J37" s="8">
        <v>990</v>
      </c>
    </row>
    <row r="38" spans="1:10" x14ac:dyDescent="0.3">
      <c r="A38" s="9" t="s">
        <v>46</v>
      </c>
      <c r="B38" s="10">
        <v>49</v>
      </c>
      <c r="C38" s="10">
        <v>34</v>
      </c>
      <c r="D38" s="10">
        <v>0</v>
      </c>
      <c r="E38" s="10">
        <v>0</v>
      </c>
      <c r="F38" s="10">
        <v>1</v>
      </c>
      <c r="G38" s="10">
        <v>1</v>
      </c>
      <c r="H38" s="10">
        <v>0</v>
      </c>
      <c r="I38" s="10">
        <v>2</v>
      </c>
      <c r="J38" s="11">
        <v>47</v>
      </c>
    </row>
    <row r="39" spans="1:10" x14ac:dyDescent="0.3">
      <c r="A39" s="6" t="s">
        <v>47</v>
      </c>
      <c r="B39" s="7">
        <v>282</v>
      </c>
      <c r="C39" s="7">
        <v>119</v>
      </c>
      <c r="D39" s="7">
        <v>22</v>
      </c>
      <c r="E39" s="7">
        <v>0</v>
      </c>
      <c r="F39" s="7">
        <v>1</v>
      </c>
      <c r="G39" s="7">
        <v>23</v>
      </c>
      <c r="H39" s="7">
        <v>0</v>
      </c>
      <c r="I39" s="7">
        <v>96</v>
      </c>
      <c r="J39" s="8">
        <v>186</v>
      </c>
    </row>
    <row r="40" spans="1:10" x14ac:dyDescent="0.3">
      <c r="A40" s="18" t="s">
        <v>48</v>
      </c>
      <c r="B40" s="19">
        <v>11</v>
      </c>
      <c r="C40" s="19">
        <v>14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8</v>
      </c>
      <c r="J40" s="20">
        <v>3</v>
      </c>
    </row>
    <row r="41" spans="1:10" x14ac:dyDescent="0.3">
      <c r="A41" s="21" t="s">
        <v>49</v>
      </c>
      <c r="B41" s="22">
        <v>124</v>
      </c>
      <c r="C41" s="22">
        <v>62</v>
      </c>
      <c r="D41" s="22">
        <v>9</v>
      </c>
      <c r="E41" s="22">
        <v>0</v>
      </c>
      <c r="F41" s="22">
        <v>0</v>
      </c>
      <c r="G41" s="22">
        <v>9</v>
      </c>
      <c r="H41" s="22">
        <v>0</v>
      </c>
      <c r="I41" s="22">
        <v>84</v>
      </c>
      <c r="J41" s="23">
        <v>40</v>
      </c>
    </row>
    <row r="42" spans="1:10" x14ac:dyDescent="0.3">
      <c r="A42" s="18" t="s">
        <v>50</v>
      </c>
      <c r="B42" s="19">
        <v>18</v>
      </c>
      <c r="C42" s="19">
        <v>8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10</v>
      </c>
      <c r="J42" s="20">
        <v>8</v>
      </c>
    </row>
    <row r="43" spans="1:10" x14ac:dyDescent="0.3">
      <c r="A43" s="21" t="s">
        <v>51</v>
      </c>
      <c r="B43" s="22">
        <v>24</v>
      </c>
      <c r="C43" s="22">
        <v>11</v>
      </c>
      <c r="D43" s="22">
        <v>1</v>
      </c>
      <c r="E43" s="22">
        <v>0</v>
      </c>
      <c r="F43" s="22">
        <v>1</v>
      </c>
      <c r="G43" s="22">
        <v>2</v>
      </c>
      <c r="H43" s="22">
        <v>0</v>
      </c>
      <c r="I43" s="22">
        <v>16</v>
      </c>
      <c r="J43" s="23">
        <v>8</v>
      </c>
    </row>
    <row r="44" spans="1:10" x14ac:dyDescent="0.3">
      <c r="A44" s="6" t="s">
        <v>52</v>
      </c>
      <c r="B44" s="7">
        <v>62</v>
      </c>
      <c r="C44" s="7">
        <v>37</v>
      </c>
      <c r="D44" s="7">
        <v>0</v>
      </c>
      <c r="E44" s="7">
        <v>0</v>
      </c>
      <c r="F44" s="7">
        <v>2</v>
      </c>
      <c r="G44" s="7">
        <v>2</v>
      </c>
      <c r="H44" s="7">
        <v>0</v>
      </c>
      <c r="I44" s="7">
        <v>28</v>
      </c>
      <c r="J44" s="8">
        <v>34</v>
      </c>
    </row>
    <row r="45" spans="1:10" x14ac:dyDescent="0.3">
      <c r="A45" s="9" t="s">
        <v>53</v>
      </c>
      <c r="B45" s="10">
        <v>960</v>
      </c>
      <c r="C45" s="10">
        <v>390</v>
      </c>
      <c r="D45" s="10">
        <v>52</v>
      </c>
      <c r="E45" s="10">
        <v>4</v>
      </c>
      <c r="F45" s="10">
        <v>32</v>
      </c>
      <c r="G45" s="10">
        <v>88</v>
      </c>
      <c r="H45" s="10">
        <v>0</v>
      </c>
      <c r="I45" s="10">
        <v>320</v>
      </c>
      <c r="J45" s="11">
        <v>640</v>
      </c>
    </row>
    <row r="46" spans="1:10" x14ac:dyDescent="0.3">
      <c r="A46" s="6" t="s">
        <v>54</v>
      </c>
      <c r="B46" s="7">
        <v>1224</v>
      </c>
      <c r="C46" s="7">
        <v>562</v>
      </c>
      <c r="D46" s="7">
        <v>1</v>
      </c>
      <c r="E46" s="7">
        <v>1</v>
      </c>
      <c r="F46" s="7">
        <v>26</v>
      </c>
      <c r="G46" s="7">
        <v>28</v>
      </c>
      <c r="H46" s="7">
        <v>0</v>
      </c>
      <c r="I46" s="7">
        <v>170</v>
      </c>
      <c r="J46" s="8">
        <v>1054</v>
      </c>
    </row>
    <row r="47" spans="1:10" x14ac:dyDescent="0.3">
      <c r="A47" s="9" t="s">
        <v>55</v>
      </c>
      <c r="B47" s="10">
        <v>338</v>
      </c>
      <c r="C47" s="10">
        <v>156</v>
      </c>
      <c r="D47" s="10">
        <v>10</v>
      </c>
      <c r="E47" s="10">
        <v>1</v>
      </c>
      <c r="F47" s="10">
        <v>17</v>
      </c>
      <c r="G47" s="10">
        <v>28</v>
      </c>
      <c r="H47" s="10">
        <v>0</v>
      </c>
      <c r="I47" s="10">
        <v>78</v>
      </c>
      <c r="J47" s="11">
        <v>260</v>
      </c>
    </row>
    <row r="48" spans="1:10" x14ac:dyDescent="0.3">
      <c r="A48" s="6" t="s">
        <v>56</v>
      </c>
      <c r="B48" s="7">
        <v>602</v>
      </c>
      <c r="C48" s="7">
        <v>264</v>
      </c>
      <c r="D48" s="7">
        <v>14</v>
      </c>
      <c r="E48" s="7">
        <v>7</v>
      </c>
      <c r="F48" s="7">
        <v>18</v>
      </c>
      <c r="G48" s="7">
        <v>39</v>
      </c>
      <c r="H48" s="7">
        <v>0</v>
      </c>
      <c r="I48" s="7">
        <v>148</v>
      </c>
      <c r="J48" s="8">
        <v>454</v>
      </c>
    </row>
    <row r="49" spans="1:10" x14ac:dyDescent="0.3">
      <c r="A49" s="9" t="s">
        <v>57</v>
      </c>
      <c r="B49" s="10">
        <v>1878</v>
      </c>
      <c r="C49" s="10">
        <v>759</v>
      </c>
      <c r="D49" s="10">
        <v>80</v>
      </c>
      <c r="E49" s="10">
        <v>5</v>
      </c>
      <c r="F49" s="10">
        <v>32</v>
      </c>
      <c r="G49" s="10">
        <v>117</v>
      </c>
      <c r="H49" s="10">
        <v>8</v>
      </c>
      <c r="I49" s="10">
        <v>382</v>
      </c>
      <c r="J49" s="11">
        <v>1496</v>
      </c>
    </row>
    <row r="50" spans="1:10" x14ac:dyDescent="0.3">
      <c r="A50" s="6" t="s">
        <v>58</v>
      </c>
      <c r="B50" s="7">
        <v>260</v>
      </c>
      <c r="C50" s="7">
        <v>140</v>
      </c>
      <c r="D50" s="7">
        <v>17</v>
      </c>
      <c r="E50" s="7">
        <v>3</v>
      </c>
      <c r="F50" s="7">
        <v>2</v>
      </c>
      <c r="G50" s="7">
        <v>22</v>
      </c>
      <c r="H50" s="7">
        <v>1</v>
      </c>
      <c r="I50" s="7">
        <v>92</v>
      </c>
      <c r="J50" s="8">
        <v>168</v>
      </c>
    </row>
    <row r="51" spans="1:10" x14ac:dyDescent="0.3">
      <c r="A51" s="9" t="s">
        <v>59</v>
      </c>
      <c r="B51" s="10">
        <v>526</v>
      </c>
      <c r="C51" s="10">
        <v>198</v>
      </c>
      <c r="D51" s="10">
        <v>44</v>
      </c>
      <c r="E51" s="10">
        <v>1</v>
      </c>
      <c r="F51" s="10">
        <v>16</v>
      </c>
      <c r="G51" s="10">
        <v>61</v>
      </c>
      <c r="H51" s="10">
        <v>1</v>
      </c>
      <c r="I51" s="10">
        <v>128</v>
      </c>
      <c r="J51" s="11">
        <v>398</v>
      </c>
    </row>
    <row r="52" spans="1:10" x14ac:dyDescent="0.3">
      <c r="A52" s="6" t="s">
        <v>60</v>
      </c>
      <c r="B52" s="7">
        <v>150</v>
      </c>
      <c r="C52" s="7">
        <v>51</v>
      </c>
      <c r="D52" s="7">
        <v>13</v>
      </c>
      <c r="E52" s="7">
        <v>0</v>
      </c>
      <c r="F52" s="7">
        <v>3</v>
      </c>
      <c r="G52" s="7">
        <v>16</v>
      </c>
      <c r="H52" s="7">
        <v>0</v>
      </c>
      <c r="I52" s="7">
        <v>48</v>
      </c>
      <c r="J52" s="8">
        <v>102</v>
      </c>
    </row>
    <row r="53" spans="1:10" x14ac:dyDescent="0.3">
      <c r="A53" s="9" t="s">
        <v>61</v>
      </c>
      <c r="B53" s="10">
        <v>30</v>
      </c>
      <c r="C53" s="10">
        <v>17</v>
      </c>
      <c r="D53" s="10">
        <v>2</v>
      </c>
      <c r="E53" s="10">
        <v>0</v>
      </c>
      <c r="F53" s="10">
        <v>1</v>
      </c>
      <c r="G53" s="10">
        <v>3</v>
      </c>
      <c r="H53" s="10">
        <v>0</v>
      </c>
      <c r="I53" s="10">
        <v>6</v>
      </c>
      <c r="J53" s="11">
        <v>24</v>
      </c>
    </row>
    <row r="54" spans="1:10" x14ac:dyDescent="0.3">
      <c r="A54" s="6" t="s">
        <v>62</v>
      </c>
      <c r="B54" s="7">
        <v>580</v>
      </c>
      <c r="C54" s="7">
        <v>251</v>
      </c>
      <c r="D54" s="7">
        <v>9</v>
      </c>
      <c r="E54" s="7">
        <v>1</v>
      </c>
      <c r="F54" s="7">
        <v>8</v>
      </c>
      <c r="G54" s="7">
        <v>18</v>
      </c>
      <c r="H54" s="7">
        <v>0</v>
      </c>
      <c r="I54" s="7">
        <v>298</v>
      </c>
      <c r="J54" s="8">
        <v>282</v>
      </c>
    </row>
    <row r="55" spans="1:10" x14ac:dyDescent="0.3">
      <c r="A55" s="30" t="s">
        <v>63</v>
      </c>
      <c r="B55" s="31">
        <f>SUM(B12,B13,B14,B15)</f>
        <v>766</v>
      </c>
      <c r="C55" s="31">
        <f t="shared" ref="C55:J55" si="0">SUM(C12,C13,C14,C15)</f>
        <v>308</v>
      </c>
      <c r="D55" s="31">
        <f t="shared" si="0"/>
        <v>29</v>
      </c>
      <c r="E55" s="31">
        <f t="shared" si="0"/>
        <v>5</v>
      </c>
      <c r="F55" s="31">
        <f t="shared" si="0"/>
        <v>16</v>
      </c>
      <c r="G55" s="31">
        <f t="shared" si="0"/>
        <v>50</v>
      </c>
      <c r="H55" s="31">
        <f t="shared" si="0"/>
        <v>0</v>
      </c>
      <c r="I55" s="31">
        <f t="shared" si="0"/>
        <v>300</v>
      </c>
      <c r="J55" s="32">
        <f t="shared" si="0"/>
        <v>466</v>
      </c>
    </row>
    <row r="56" spans="1:10" x14ac:dyDescent="0.3">
      <c r="A56" s="27" t="s">
        <v>64</v>
      </c>
      <c r="B56" s="28">
        <f>SUM(B40,B41,B42,B43)</f>
        <v>177</v>
      </c>
      <c r="C56" s="28">
        <f t="shared" ref="C56:J56" si="1">SUM(C40,C41,C42,C43)</f>
        <v>95</v>
      </c>
      <c r="D56" s="28">
        <f t="shared" si="1"/>
        <v>10</v>
      </c>
      <c r="E56" s="28">
        <f t="shared" si="1"/>
        <v>0</v>
      </c>
      <c r="F56" s="28">
        <f t="shared" si="1"/>
        <v>1</v>
      </c>
      <c r="G56" s="28">
        <f t="shared" si="1"/>
        <v>11</v>
      </c>
      <c r="H56" s="28">
        <f t="shared" si="1"/>
        <v>0</v>
      </c>
      <c r="I56" s="28">
        <f t="shared" si="1"/>
        <v>118</v>
      </c>
      <c r="J56" s="29">
        <f t="shared" si="1"/>
        <v>59</v>
      </c>
    </row>
    <row r="57" spans="1:10" x14ac:dyDescent="0.3">
      <c r="A57" s="24" t="s">
        <v>65</v>
      </c>
      <c r="B57" s="25">
        <f>SUM(B2:B54)</f>
        <v>37762</v>
      </c>
      <c r="C57" s="25">
        <f t="shared" ref="C57:J57" si="2">SUM(C2:C54)</f>
        <v>15640</v>
      </c>
      <c r="D57" s="25">
        <f t="shared" si="2"/>
        <v>1783</v>
      </c>
      <c r="E57" s="25">
        <f t="shared" si="2"/>
        <v>166</v>
      </c>
      <c r="F57" s="25">
        <f t="shared" si="2"/>
        <v>960</v>
      </c>
      <c r="G57" s="25">
        <f t="shared" si="2"/>
        <v>2909</v>
      </c>
      <c r="H57" s="25">
        <f t="shared" si="2"/>
        <v>72</v>
      </c>
      <c r="I57" s="25">
        <f t="shared" si="2"/>
        <v>8651</v>
      </c>
      <c r="J57" s="26">
        <f t="shared" si="2"/>
        <v>29111</v>
      </c>
    </row>
  </sheetData>
  <autoFilter ref="A1:J57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style="1" customWidth="1"/>
    <col min="2" max="10" width="15.6640625" customWidth="1"/>
  </cols>
  <sheetData>
    <row r="1" spans="1:10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/>
      <c r="C2" s="4"/>
      <c r="D2" s="4"/>
      <c r="E2" s="4"/>
      <c r="F2" s="4"/>
      <c r="G2" s="4"/>
      <c r="H2" s="4"/>
      <c r="I2" s="4"/>
      <c r="J2" s="5"/>
    </row>
    <row r="3" spans="1:10" x14ac:dyDescent="0.3">
      <c r="A3" s="6" t="s">
        <v>11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3">
      <c r="A4" s="9" t="s">
        <v>12</v>
      </c>
      <c r="B4" s="10"/>
      <c r="C4" s="10"/>
      <c r="D4" s="10"/>
      <c r="E4" s="10"/>
      <c r="F4" s="10"/>
      <c r="G4" s="10"/>
      <c r="H4" s="10"/>
      <c r="I4" s="10"/>
      <c r="J4" s="11"/>
    </row>
    <row r="5" spans="1:10" x14ac:dyDescent="0.3">
      <c r="A5" s="6" t="s">
        <v>13</v>
      </c>
      <c r="B5" s="7"/>
      <c r="C5" s="7"/>
      <c r="D5" s="7"/>
      <c r="E5" s="7"/>
      <c r="F5" s="7"/>
      <c r="G5" s="7"/>
      <c r="H5" s="7"/>
      <c r="I5" s="7"/>
      <c r="J5" s="8"/>
    </row>
    <row r="6" spans="1:10" x14ac:dyDescent="0.3">
      <c r="A6" s="9" t="s">
        <v>14</v>
      </c>
      <c r="B6" s="10"/>
      <c r="C6" s="10"/>
      <c r="D6" s="10"/>
      <c r="E6" s="10"/>
      <c r="F6" s="10"/>
      <c r="G6" s="10"/>
      <c r="H6" s="10"/>
      <c r="I6" s="10"/>
      <c r="J6" s="11"/>
    </row>
    <row r="7" spans="1:10" x14ac:dyDescent="0.3">
      <c r="A7" s="6" t="s">
        <v>15</v>
      </c>
      <c r="B7" s="7"/>
      <c r="C7" s="7"/>
      <c r="D7" s="7"/>
      <c r="E7" s="7"/>
      <c r="F7" s="7"/>
      <c r="G7" s="7"/>
      <c r="H7" s="7"/>
      <c r="I7" s="7"/>
      <c r="J7" s="8"/>
    </row>
    <row r="8" spans="1:10" x14ac:dyDescent="0.3">
      <c r="A8" s="9" t="s">
        <v>16</v>
      </c>
      <c r="B8" s="10"/>
      <c r="C8" s="10"/>
      <c r="D8" s="10"/>
      <c r="E8" s="10"/>
      <c r="F8" s="10"/>
      <c r="G8" s="10"/>
      <c r="H8" s="10"/>
      <c r="I8" s="10"/>
      <c r="J8" s="11"/>
    </row>
    <row r="9" spans="1:10" x14ac:dyDescent="0.3">
      <c r="A9" s="6" t="s">
        <v>17</v>
      </c>
      <c r="B9" s="7"/>
      <c r="C9" s="7"/>
      <c r="D9" s="7"/>
      <c r="E9" s="7"/>
      <c r="F9" s="7"/>
      <c r="G9" s="7"/>
      <c r="H9" s="7"/>
      <c r="I9" s="7"/>
      <c r="J9" s="8"/>
    </row>
    <row r="10" spans="1:10" x14ac:dyDescent="0.3">
      <c r="A10" s="9" t="s">
        <v>18</v>
      </c>
      <c r="B10" s="10"/>
      <c r="C10" s="10"/>
      <c r="D10" s="10"/>
      <c r="E10" s="10"/>
      <c r="F10" s="10"/>
      <c r="G10" s="10"/>
      <c r="H10" s="10"/>
      <c r="I10" s="10"/>
      <c r="J10" s="11"/>
    </row>
    <row r="11" spans="1:10" x14ac:dyDescent="0.3">
      <c r="A11" s="6" t="s">
        <v>19</v>
      </c>
      <c r="B11" s="7"/>
      <c r="C11" s="7"/>
      <c r="D11" s="7"/>
      <c r="E11" s="7"/>
      <c r="F11" s="7"/>
      <c r="G11" s="7"/>
      <c r="H11" s="7"/>
      <c r="I11" s="7"/>
      <c r="J11" s="8"/>
    </row>
    <row r="12" spans="1:10" x14ac:dyDescent="0.3">
      <c r="A12" s="12" t="s">
        <v>20</v>
      </c>
      <c r="B12" s="13"/>
      <c r="C12" s="13"/>
      <c r="D12" s="13"/>
      <c r="E12" s="13"/>
      <c r="F12" s="13"/>
      <c r="G12" s="13"/>
      <c r="H12" s="13"/>
      <c r="I12" s="13"/>
      <c r="J12" s="14"/>
    </row>
    <row r="13" spans="1:10" x14ac:dyDescent="0.3">
      <c r="A13" s="15" t="s">
        <v>21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 x14ac:dyDescent="0.3">
      <c r="A14" s="12" t="s">
        <v>22</v>
      </c>
      <c r="B14" s="13"/>
      <c r="C14" s="13"/>
      <c r="D14" s="13"/>
      <c r="E14" s="13"/>
      <c r="F14" s="13"/>
      <c r="G14" s="13"/>
      <c r="H14" s="13"/>
      <c r="I14" s="13"/>
      <c r="J14" s="14"/>
    </row>
    <row r="15" spans="1:10" x14ac:dyDescent="0.3">
      <c r="A15" s="15" t="s">
        <v>23</v>
      </c>
      <c r="B15" s="16"/>
      <c r="C15" s="16"/>
      <c r="D15" s="16"/>
      <c r="E15" s="16"/>
      <c r="F15" s="16"/>
      <c r="G15" s="16"/>
      <c r="H15" s="16"/>
      <c r="I15" s="16"/>
      <c r="J15" s="17"/>
    </row>
    <row r="16" spans="1:10" x14ac:dyDescent="0.3">
      <c r="A16" s="9" t="s">
        <v>24</v>
      </c>
      <c r="B16" s="10"/>
      <c r="C16" s="10"/>
      <c r="D16" s="10"/>
      <c r="E16" s="10"/>
      <c r="F16" s="10"/>
      <c r="G16" s="10"/>
      <c r="H16" s="10"/>
      <c r="I16" s="10"/>
      <c r="J16" s="11"/>
    </row>
    <row r="17" spans="1:10" x14ac:dyDescent="0.3">
      <c r="A17" s="6" t="s">
        <v>25</v>
      </c>
      <c r="B17" s="7"/>
      <c r="C17" s="7"/>
      <c r="D17" s="7"/>
      <c r="E17" s="7"/>
      <c r="F17" s="7"/>
      <c r="G17" s="7"/>
      <c r="H17" s="7"/>
      <c r="I17" s="7"/>
      <c r="J17" s="8"/>
    </row>
    <row r="18" spans="1:10" x14ac:dyDescent="0.3">
      <c r="A18" s="9" t="s">
        <v>26</v>
      </c>
      <c r="B18" s="10"/>
      <c r="C18" s="10"/>
      <c r="D18" s="10"/>
      <c r="E18" s="10"/>
      <c r="F18" s="10"/>
      <c r="G18" s="10"/>
      <c r="H18" s="10"/>
      <c r="I18" s="10"/>
      <c r="J18" s="11"/>
    </row>
    <row r="19" spans="1:10" x14ac:dyDescent="0.3">
      <c r="A19" s="6" t="s">
        <v>27</v>
      </c>
      <c r="B19" s="7"/>
      <c r="C19" s="7"/>
      <c r="D19" s="7"/>
      <c r="E19" s="7"/>
      <c r="F19" s="7"/>
      <c r="G19" s="7"/>
      <c r="H19" s="7"/>
      <c r="I19" s="7"/>
      <c r="J19" s="8"/>
    </row>
    <row r="20" spans="1:10" x14ac:dyDescent="0.3">
      <c r="A20" s="9" t="s">
        <v>28</v>
      </c>
      <c r="B20" s="10"/>
      <c r="C20" s="10"/>
      <c r="D20" s="10"/>
      <c r="E20" s="10"/>
      <c r="F20" s="10"/>
      <c r="G20" s="10"/>
      <c r="H20" s="10"/>
      <c r="I20" s="10"/>
      <c r="J20" s="11"/>
    </row>
    <row r="21" spans="1:10" x14ac:dyDescent="0.3">
      <c r="A21" s="6" t="s">
        <v>29</v>
      </c>
      <c r="B21" s="7"/>
      <c r="C21" s="7"/>
      <c r="D21" s="7"/>
      <c r="E21" s="7"/>
      <c r="F21" s="7"/>
      <c r="G21" s="7"/>
      <c r="H21" s="7"/>
      <c r="I21" s="7"/>
      <c r="J21" s="8"/>
    </row>
    <row r="22" spans="1:10" x14ac:dyDescent="0.3">
      <c r="A22" s="9" t="s">
        <v>30</v>
      </c>
      <c r="B22" s="10"/>
      <c r="C22" s="10"/>
      <c r="D22" s="10"/>
      <c r="E22" s="10"/>
      <c r="F22" s="10"/>
      <c r="G22" s="10"/>
      <c r="H22" s="10"/>
      <c r="I22" s="10"/>
      <c r="J22" s="11"/>
    </row>
    <row r="23" spans="1:10" x14ac:dyDescent="0.3">
      <c r="A23" s="6" t="s">
        <v>31</v>
      </c>
      <c r="B23" s="7"/>
      <c r="C23" s="7"/>
      <c r="D23" s="7"/>
      <c r="E23" s="7"/>
      <c r="F23" s="7"/>
      <c r="G23" s="7"/>
      <c r="H23" s="7"/>
      <c r="I23" s="7"/>
      <c r="J23" s="8"/>
    </row>
    <row r="24" spans="1:10" x14ac:dyDescent="0.3">
      <c r="A24" s="9" t="s">
        <v>32</v>
      </c>
      <c r="B24" s="10"/>
      <c r="C24" s="10"/>
      <c r="D24" s="10"/>
      <c r="E24" s="10"/>
      <c r="F24" s="10"/>
      <c r="G24" s="10"/>
      <c r="H24" s="10"/>
      <c r="I24" s="10"/>
      <c r="J24" s="11"/>
    </row>
    <row r="25" spans="1:10" x14ac:dyDescent="0.3">
      <c r="A25" s="6" t="s">
        <v>33</v>
      </c>
      <c r="B25" s="7"/>
      <c r="C25" s="7"/>
      <c r="D25" s="7"/>
      <c r="E25" s="7"/>
      <c r="F25" s="7"/>
      <c r="G25" s="7"/>
      <c r="H25" s="7"/>
      <c r="I25" s="7"/>
      <c r="J25" s="8"/>
    </row>
    <row r="26" spans="1:10" x14ac:dyDescent="0.3">
      <c r="A26" s="9" t="s">
        <v>34</v>
      </c>
      <c r="B26" s="10"/>
      <c r="C26" s="10"/>
      <c r="D26" s="10"/>
      <c r="E26" s="10"/>
      <c r="F26" s="10"/>
      <c r="G26" s="10"/>
      <c r="H26" s="10"/>
      <c r="I26" s="10"/>
      <c r="J26" s="11"/>
    </row>
    <row r="27" spans="1:10" x14ac:dyDescent="0.3">
      <c r="A27" s="6" t="s">
        <v>35</v>
      </c>
      <c r="B27" s="7"/>
      <c r="C27" s="7"/>
      <c r="D27" s="7"/>
      <c r="E27" s="7"/>
      <c r="F27" s="7"/>
      <c r="G27" s="7"/>
      <c r="H27" s="7"/>
      <c r="I27" s="7"/>
      <c r="J27" s="8"/>
    </row>
    <row r="28" spans="1:10" x14ac:dyDescent="0.3">
      <c r="A28" s="9" t="s">
        <v>36</v>
      </c>
      <c r="B28" s="10"/>
      <c r="C28" s="10"/>
      <c r="D28" s="10"/>
      <c r="E28" s="10"/>
      <c r="F28" s="10"/>
      <c r="G28" s="10"/>
      <c r="H28" s="10"/>
      <c r="I28" s="10"/>
      <c r="J28" s="11"/>
    </row>
    <row r="29" spans="1:10" x14ac:dyDescent="0.3">
      <c r="A29" s="6" t="s">
        <v>37</v>
      </c>
      <c r="B29" s="7"/>
      <c r="C29" s="7"/>
      <c r="D29" s="7"/>
      <c r="E29" s="7"/>
      <c r="F29" s="7"/>
      <c r="G29" s="7"/>
      <c r="H29" s="7"/>
      <c r="I29" s="7"/>
      <c r="J29" s="8"/>
    </row>
    <row r="30" spans="1:10" x14ac:dyDescent="0.3">
      <c r="A30" s="9" t="s">
        <v>38</v>
      </c>
      <c r="B30" s="10"/>
      <c r="C30" s="10"/>
      <c r="D30" s="10"/>
      <c r="E30" s="10"/>
      <c r="F30" s="10"/>
      <c r="G30" s="10"/>
      <c r="H30" s="10"/>
      <c r="I30" s="10"/>
      <c r="J30" s="11"/>
    </row>
    <row r="31" spans="1:10" x14ac:dyDescent="0.3">
      <c r="A31" s="6" t="s">
        <v>39</v>
      </c>
      <c r="B31" s="7"/>
      <c r="C31" s="7"/>
      <c r="D31" s="7"/>
      <c r="E31" s="7"/>
      <c r="F31" s="7"/>
      <c r="G31" s="7"/>
      <c r="H31" s="7"/>
      <c r="I31" s="7"/>
      <c r="J31" s="8"/>
    </row>
    <row r="32" spans="1:10" x14ac:dyDescent="0.3">
      <c r="A32" s="9" t="s">
        <v>40</v>
      </c>
      <c r="B32" s="10"/>
      <c r="C32" s="10"/>
      <c r="D32" s="10"/>
      <c r="E32" s="10"/>
      <c r="F32" s="10"/>
      <c r="G32" s="10"/>
      <c r="H32" s="10"/>
      <c r="I32" s="10"/>
      <c r="J32" s="11"/>
    </row>
    <row r="33" spans="1:10" x14ac:dyDescent="0.3">
      <c r="A33" s="6" t="s">
        <v>41</v>
      </c>
      <c r="B33" s="7"/>
      <c r="C33" s="7"/>
      <c r="D33" s="7"/>
      <c r="E33" s="7"/>
      <c r="F33" s="7"/>
      <c r="G33" s="7"/>
      <c r="H33" s="7"/>
      <c r="I33" s="7"/>
      <c r="J33" s="8"/>
    </row>
    <row r="34" spans="1:10" x14ac:dyDescent="0.3">
      <c r="A34" s="9" t="s">
        <v>42</v>
      </c>
      <c r="B34" s="10"/>
      <c r="C34" s="10"/>
      <c r="D34" s="10"/>
      <c r="E34" s="10"/>
      <c r="F34" s="10"/>
      <c r="G34" s="10"/>
      <c r="H34" s="10"/>
      <c r="I34" s="10"/>
      <c r="J34" s="11"/>
    </row>
    <row r="35" spans="1:10" x14ac:dyDescent="0.3">
      <c r="A35" s="6" t="s">
        <v>43</v>
      </c>
      <c r="B35" s="7"/>
      <c r="C35" s="7"/>
      <c r="D35" s="7"/>
      <c r="E35" s="7"/>
      <c r="F35" s="7"/>
      <c r="G35" s="7"/>
      <c r="H35" s="7"/>
      <c r="I35" s="7"/>
      <c r="J35" s="8"/>
    </row>
    <row r="36" spans="1:10" x14ac:dyDescent="0.3">
      <c r="A36" s="9" t="s">
        <v>44</v>
      </c>
      <c r="B36" s="10"/>
      <c r="C36" s="10"/>
      <c r="D36" s="10"/>
      <c r="E36" s="10"/>
      <c r="F36" s="10"/>
      <c r="G36" s="10"/>
      <c r="H36" s="10"/>
      <c r="I36" s="10"/>
      <c r="J36" s="11"/>
    </row>
    <row r="37" spans="1:10" x14ac:dyDescent="0.3">
      <c r="A37" s="6" t="s">
        <v>45</v>
      </c>
      <c r="B37" s="7"/>
      <c r="C37" s="7"/>
      <c r="D37" s="7"/>
      <c r="E37" s="7"/>
      <c r="F37" s="7"/>
      <c r="G37" s="7"/>
      <c r="H37" s="7"/>
      <c r="I37" s="7"/>
      <c r="J37" s="8"/>
    </row>
    <row r="38" spans="1:10" x14ac:dyDescent="0.3">
      <c r="A38" s="9" t="s">
        <v>46</v>
      </c>
      <c r="B38" s="10"/>
      <c r="C38" s="10"/>
      <c r="D38" s="10"/>
      <c r="E38" s="10"/>
      <c r="F38" s="10"/>
      <c r="G38" s="10"/>
      <c r="H38" s="10"/>
      <c r="I38" s="10"/>
      <c r="J38" s="11"/>
    </row>
    <row r="39" spans="1:10" x14ac:dyDescent="0.3">
      <c r="A39" s="6" t="s">
        <v>47</v>
      </c>
      <c r="B39" s="7"/>
      <c r="C39" s="7"/>
      <c r="D39" s="7"/>
      <c r="E39" s="7"/>
      <c r="F39" s="7"/>
      <c r="G39" s="7"/>
      <c r="H39" s="7"/>
      <c r="I39" s="7"/>
      <c r="J39" s="8"/>
    </row>
    <row r="40" spans="1:10" x14ac:dyDescent="0.3">
      <c r="A40" s="18" t="s">
        <v>48</v>
      </c>
      <c r="B40" s="19"/>
      <c r="C40" s="19"/>
      <c r="D40" s="19"/>
      <c r="E40" s="19"/>
      <c r="F40" s="19"/>
      <c r="G40" s="19"/>
      <c r="H40" s="19"/>
      <c r="I40" s="19"/>
      <c r="J40" s="20"/>
    </row>
    <row r="41" spans="1:10" x14ac:dyDescent="0.3">
      <c r="A41" s="21" t="s">
        <v>49</v>
      </c>
      <c r="B41" s="22"/>
      <c r="C41" s="22"/>
      <c r="D41" s="22"/>
      <c r="E41" s="22"/>
      <c r="F41" s="22"/>
      <c r="G41" s="22"/>
      <c r="H41" s="22"/>
      <c r="I41" s="22"/>
      <c r="J41" s="23"/>
    </row>
    <row r="42" spans="1:10" x14ac:dyDescent="0.3">
      <c r="A42" s="18" t="s">
        <v>50</v>
      </c>
      <c r="B42" s="19"/>
      <c r="C42" s="19"/>
      <c r="D42" s="19"/>
      <c r="E42" s="19"/>
      <c r="F42" s="19"/>
      <c r="G42" s="19"/>
      <c r="H42" s="19"/>
      <c r="I42" s="19"/>
      <c r="J42" s="20"/>
    </row>
    <row r="43" spans="1:10" x14ac:dyDescent="0.3">
      <c r="A43" s="21" t="s">
        <v>51</v>
      </c>
      <c r="B43" s="22"/>
      <c r="C43" s="22"/>
      <c r="D43" s="22"/>
      <c r="E43" s="22"/>
      <c r="F43" s="22"/>
      <c r="G43" s="22"/>
      <c r="H43" s="22"/>
      <c r="I43" s="22"/>
      <c r="J43" s="23"/>
    </row>
    <row r="44" spans="1:10" x14ac:dyDescent="0.3">
      <c r="A44" s="6" t="s">
        <v>52</v>
      </c>
      <c r="B44" s="7"/>
      <c r="C44" s="7"/>
      <c r="D44" s="7"/>
      <c r="E44" s="7"/>
      <c r="F44" s="7"/>
      <c r="G44" s="7"/>
      <c r="H44" s="7"/>
      <c r="I44" s="7"/>
      <c r="J44" s="8"/>
    </row>
    <row r="45" spans="1:10" x14ac:dyDescent="0.3">
      <c r="A45" s="9" t="s">
        <v>53</v>
      </c>
      <c r="B45" s="10"/>
      <c r="C45" s="10"/>
      <c r="D45" s="10"/>
      <c r="E45" s="10"/>
      <c r="F45" s="10"/>
      <c r="G45" s="10"/>
      <c r="H45" s="10"/>
      <c r="I45" s="10"/>
      <c r="J45" s="11"/>
    </row>
    <row r="46" spans="1:10" x14ac:dyDescent="0.3">
      <c r="A46" s="6" t="s">
        <v>54</v>
      </c>
      <c r="B46" s="7"/>
      <c r="C46" s="7"/>
      <c r="D46" s="7"/>
      <c r="E46" s="7"/>
      <c r="F46" s="7"/>
      <c r="G46" s="7"/>
      <c r="H46" s="7"/>
      <c r="I46" s="7"/>
      <c r="J46" s="8"/>
    </row>
    <row r="47" spans="1:10" x14ac:dyDescent="0.3">
      <c r="A47" s="9" t="s">
        <v>55</v>
      </c>
      <c r="B47" s="10"/>
      <c r="C47" s="10"/>
      <c r="D47" s="10"/>
      <c r="E47" s="10"/>
      <c r="F47" s="10"/>
      <c r="G47" s="10"/>
      <c r="H47" s="10"/>
      <c r="I47" s="10"/>
      <c r="J47" s="11"/>
    </row>
    <row r="48" spans="1:10" x14ac:dyDescent="0.3">
      <c r="A48" s="6" t="s">
        <v>56</v>
      </c>
      <c r="B48" s="7"/>
      <c r="C48" s="7"/>
      <c r="D48" s="7"/>
      <c r="E48" s="7"/>
      <c r="F48" s="7"/>
      <c r="G48" s="7"/>
      <c r="H48" s="7"/>
      <c r="I48" s="7"/>
      <c r="J48" s="8"/>
    </row>
    <row r="49" spans="1:10" x14ac:dyDescent="0.3">
      <c r="A49" s="9" t="s">
        <v>57</v>
      </c>
      <c r="B49" s="10"/>
      <c r="C49" s="10"/>
      <c r="D49" s="10"/>
      <c r="E49" s="10"/>
      <c r="F49" s="10"/>
      <c r="G49" s="10"/>
      <c r="H49" s="10"/>
      <c r="I49" s="10"/>
      <c r="J49" s="11"/>
    </row>
    <row r="50" spans="1:10" x14ac:dyDescent="0.3">
      <c r="A50" s="6" t="s">
        <v>58</v>
      </c>
      <c r="B50" s="7"/>
      <c r="C50" s="7"/>
      <c r="D50" s="7"/>
      <c r="E50" s="7"/>
      <c r="F50" s="7"/>
      <c r="G50" s="7"/>
      <c r="H50" s="7"/>
      <c r="I50" s="7"/>
      <c r="J50" s="8"/>
    </row>
    <row r="51" spans="1:10" x14ac:dyDescent="0.3">
      <c r="A51" s="9" t="s">
        <v>59</v>
      </c>
      <c r="B51" s="10"/>
      <c r="C51" s="10"/>
      <c r="D51" s="10"/>
      <c r="E51" s="10"/>
      <c r="F51" s="10"/>
      <c r="G51" s="10"/>
      <c r="H51" s="10"/>
      <c r="I51" s="10"/>
      <c r="J51" s="11"/>
    </row>
    <row r="52" spans="1:10" x14ac:dyDescent="0.3">
      <c r="A52" s="6" t="s">
        <v>60</v>
      </c>
      <c r="B52" s="7"/>
      <c r="C52" s="7"/>
      <c r="D52" s="7"/>
      <c r="E52" s="7"/>
      <c r="F52" s="7"/>
      <c r="G52" s="7"/>
      <c r="H52" s="7"/>
      <c r="I52" s="7"/>
      <c r="J52" s="8"/>
    </row>
    <row r="53" spans="1:10" x14ac:dyDescent="0.3">
      <c r="A53" s="9" t="s">
        <v>61</v>
      </c>
      <c r="B53" s="10"/>
      <c r="C53" s="10"/>
      <c r="D53" s="10"/>
      <c r="E53" s="10"/>
      <c r="F53" s="10"/>
      <c r="G53" s="10"/>
      <c r="H53" s="10"/>
      <c r="I53" s="10"/>
      <c r="J53" s="11"/>
    </row>
    <row r="54" spans="1:10" x14ac:dyDescent="0.3">
      <c r="A54" s="6" t="s">
        <v>62</v>
      </c>
      <c r="B54" s="7"/>
      <c r="C54" s="7"/>
      <c r="D54" s="7"/>
      <c r="E54" s="7"/>
      <c r="F54" s="7"/>
      <c r="G54" s="7"/>
      <c r="H54" s="7"/>
      <c r="I54" s="7"/>
      <c r="J54" s="8"/>
    </row>
    <row r="55" spans="1:10" x14ac:dyDescent="0.3">
      <c r="A55" s="30" t="s">
        <v>63</v>
      </c>
      <c r="B55" s="31">
        <f>SUM(B12,B13,B14,B15)</f>
        <v>0</v>
      </c>
      <c r="C55" s="31">
        <f t="shared" ref="C55:J55" si="0">SUM(C12,C13,C14,C15)</f>
        <v>0</v>
      </c>
      <c r="D55" s="31">
        <f t="shared" si="0"/>
        <v>0</v>
      </c>
      <c r="E55" s="31">
        <f t="shared" si="0"/>
        <v>0</v>
      </c>
      <c r="F55" s="31">
        <f t="shared" si="0"/>
        <v>0</v>
      </c>
      <c r="G55" s="31">
        <f t="shared" si="0"/>
        <v>0</v>
      </c>
      <c r="H55" s="31">
        <f t="shared" si="0"/>
        <v>0</v>
      </c>
      <c r="I55" s="31">
        <f t="shared" si="0"/>
        <v>0</v>
      </c>
      <c r="J55" s="32">
        <f t="shared" si="0"/>
        <v>0</v>
      </c>
    </row>
    <row r="56" spans="1:10" x14ac:dyDescent="0.3">
      <c r="A56" s="27" t="s">
        <v>64</v>
      </c>
      <c r="B56" s="28">
        <f>SUM(B40,B41,B42,B43)</f>
        <v>0</v>
      </c>
      <c r="C56" s="28">
        <f t="shared" ref="C56:J56" si="1">SUM(C40,C41,C42,C43)</f>
        <v>0</v>
      </c>
      <c r="D56" s="28">
        <f t="shared" si="1"/>
        <v>0</v>
      </c>
      <c r="E56" s="28">
        <f t="shared" si="1"/>
        <v>0</v>
      </c>
      <c r="F56" s="28">
        <f t="shared" si="1"/>
        <v>0</v>
      </c>
      <c r="G56" s="28">
        <f t="shared" si="1"/>
        <v>0</v>
      </c>
      <c r="H56" s="28">
        <f t="shared" si="1"/>
        <v>0</v>
      </c>
      <c r="I56" s="28">
        <f t="shared" si="1"/>
        <v>0</v>
      </c>
      <c r="J56" s="29">
        <f t="shared" si="1"/>
        <v>0</v>
      </c>
    </row>
    <row r="57" spans="1:10" x14ac:dyDescent="0.3">
      <c r="A57" s="24" t="s">
        <v>65</v>
      </c>
      <c r="B57" s="25">
        <f>SUM(B2:B54)</f>
        <v>0</v>
      </c>
      <c r="C57" s="25">
        <f t="shared" ref="C57:J57" si="2">SUM(C2:C54)</f>
        <v>0</v>
      </c>
      <c r="D57" s="25">
        <f t="shared" si="2"/>
        <v>0</v>
      </c>
      <c r="E57" s="25">
        <f t="shared" si="2"/>
        <v>0</v>
      </c>
      <c r="F57" s="25">
        <f t="shared" si="2"/>
        <v>0</v>
      </c>
      <c r="G57" s="25">
        <f t="shared" si="2"/>
        <v>0</v>
      </c>
      <c r="H57" s="25">
        <f t="shared" si="2"/>
        <v>0</v>
      </c>
      <c r="I57" s="25">
        <f t="shared" si="2"/>
        <v>0</v>
      </c>
      <c r="J57" s="26">
        <f t="shared" si="2"/>
        <v>0</v>
      </c>
    </row>
  </sheetData>
  <autoFilter ref="A1:J57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style="1" customWidth="1"/>
    <col min="2" max="10" width="15.6640625" customWidth="1"/>
  </cols>
  <sheetData>
    <row r="1" spans="1:10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/>
      <c r="C2" s="4"/>
      <c r="D2" s="4"/>
      <c r="E2" s="4"/>
      <c r="F2" s="4"/>
      <c r="G2" s="4"/>
      <c r="H2" s="4"/>
      <c r="I2" s="4"/>
      <c r="J2" s="5"/>
    </row>
    <row r="3" spans="1:10" x14ac:dyDescent="0.3">
      <c r="A3" s="6" t="s">
        <v>11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3">
      <c r="A4" s="9" t="s">
        <v>12</v>
      </c>
      <c r="B4" s="10"/>
      <c r="C4" s="10"/>
      <c r="D4" s="10"/>
      <c r="E4" s="10"/>
      <c r="F4" s="10"/>
      <c r="G4" s="10"/>
      <c r="H4" s="10"/>
      <c r="I4" s="10"/>
      <c r="J4" s="11"/>
    </row>
    <row r="5" spans="1:10" x14ac:dyDescent="0.3">
      <c r="A5" s="6" t="s">
        <v>13</v>
      </c>
      <c r="B5" s="7"/>
      <c r="C5" s="7"/>
      <c r="D5" s="7"/>
      <c r="E5" s="7"/>
      <c r="F5" s="7"/>
      <c r="G5" s="7"/>
      <c r="H5" s="7"/>
      <c r="I5" s="7"/>
      <c r="J5" s="8"/>
    </row>
    <row r="6" spans="1:10" x14ac:dyDescent="0.3">
      <c r="A6" s="9" t="s">
        <v>14</v>
      </c>
      <c r="B6" s="10"/>
      <c r="C6" s="10"/>
      <c r="D6" s="10"/>
      <c r="E6" s="10"/>
      <c r="F6" s="10"/>
      <c r="G6" s="10"/>
      <c r="H6" s="10"/>
      <c r="I6" s="10"/>
      <c r="J6" s="11"/>
    </row>
    <row r="7" spans="1:10" x14ac:dyDescent="0.3">
      <c r="A7" s="6" t="s">
        <v>15</v>
      </c>
      <c r="B7" s="7"/>
      <c r="C7" s="7"/>
      <c r="D7" s="7"/>
      <c r="E7" s="7"/>
      <c r="F7" s="7"/>
      <c r="G7" s="7"/>
      <c r="H7" s="7"/>
      <c r="I7" s="7"/>
      <c r="J7" s="8"/>
    </row>
    <row r="8" spans="1:10" x14ac:dyDescent="0.3">
      <c r="A8" s="9" t="s">
        <v>16</v>
      </c>
      <c r="B8" s="10"/>
      <c r="C8" s="10"/>
      <c r="D8" s="10"/>
      <c r="E8" s="10"/>
      <c r="F8" s="10"/>
      <c r="G8" s="10"/>
      <c r="H8" s="10"/>
      <c r="I8" s="10"/>
      <c r="J8" s="11"/>
    </row>
    <row r="9" spans="1:10" x14ac:dyDescent="0.3">
      <c r="A9" s="6" t="s">
        <v>17</v>
      </c>
      <c r="B9" s="7"/>
      <c r="C9" s="7"/>
      <c r="D9" s="7"/>
      <c r="E9" s="7"/>
      <c r="F9" s="7"/>
      <c r="G9" s="7"/>
      <c r="H9" s="7"/>
      <c r="I9" s="7"/>
      <c r="J9" s="8"/>
    </row>
    <row r="10" spans="1:10" x14ac:dyDescent="0.3">
      <c r="A10" s="9" t="s">
        <v>18</v>
      </c>
      <c r="B10" s="10"/>
      <c r="C10" s="10"/>
      <c r="D10" s="10"/>
      <c r="E10" s="10"/>
      <c r="F10" s="10"/>
      <c r="G10" s="10"/>
      <c r="H10" s="10"/>
      <c r="I10" s="10"/>
      <c r="J10" s="11"/>
    </row>
    <row r="11" spans="1:10" x14ac:dyDescent="0.3">
      <c r="A11" s="6" t="s">
        <v>19</v>
      </c>
      <c r="B11" s="7"/>
      <c r="C11" s="7"/>
      <c r="D11" s="7"/>
      <c r="E11" s="7"/>
      <c r="F11" s="7"/>
      <c r="G11" s="7"/>
      <c r="H11" s="7"/>
      <c r="I11" s="7"/>
      <c r="J11" s="8"/>
    </row>
    <row r="12" spans="1:10" x14ac:dyDescent="0.3">
      <c r="A12" s="12" t="s">
        <v>20</v>
      </c>
      <c r="B12" s="13"/>
      <c r="C12" s="13"/>
      <c r="D12" s="13"/>
      <c r="E12" s="13"/>
      <c r="F12" s="13"/>
      <c r="G12" s="13"/>
      <c r="H12" s="13"/>
      <c r="I12" s="13"/>
      <c r="J12" s="14"/>
    </row>
    <row r="13" spans="1:10" x14ac:dyDescent="0.3">
      <c r="A13" s="15" t="s">
        <v>21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 x14ac:dyDescent="0.3">
      <c r="A14" s="12" t="s">
        <v>22</v>
      </c>
      <c r="B14" s="13"/>
      <c r="C14" s="13"/>
      <c r="D14" s="13"/>
      <c r="E14" s="13"/>
      <c r="F14" s="13"/>
      <c r="G14" s="13"/>
      <c r="H14" s="13"/>
      <c r="I14" s="13"/>
      <c r="J14" s="14"/>
    </row>
    <row r="15" spans="1:10" x14ac:dyDescent="0.3">
      <c r="A15" s="15" t="s">
        <v>23</v>
      </c>
      <c r="B15" s="16"/>
      <c r="C15" s="16"/>
      <c r="D15" s="16"/>
      <c r="E15" s="16"/>
      <c r="F15" s="16"/>
      <c r="G15" s="16"/>
      <c r="H15" s="16"/>
      <c r="I15" s="16"/>
      <c r="J15" s="17"/>
    </row>
    <row r="16" spans="1:10" x14ac:dyDescent="0.3">
      <c r="A16" s="9" t="s">
        <v>24</v>
      </c>
      <c r="B16" s="10"/>
      <c r="C16" s="10"/>
      <c r="D16" s="10"/>
      <c r="E16" s="10"/>
      <c r="F16" s="10"/>
      <c r="G16" s="10"/>
      <c r="H16" s="10"/>
      <c r="I16" s="10"/>
      <c r="J16" s="11"/>
    </row>
    <row r="17" spans="1:10" x14ac:dyDescent="0.3">
      <c r="A17" s="6" t="s">
        <v>25</v>
      </c>
      <c r="B17" s="7"/>
      <c r="C17" s="7"/>
      <c r="D17" s="7"/>
      <c r="E17" s="7"/>
      <c r="F17" s="7"/>
      <c r="G17" s="7"/>
      <c r="H17" s="7"/>
      <c r="I17" s="7"/>
      <c r="J17" s="8"/>
    </row>
    <row r="18" spans="1:10" x14ac:dyDescent="0.3">
      <c r="A18" s="9" t="s">
        <v>26</v>
      </c>
      <c r="B18" s="10"/>
      <c r="C18" s="10"/>
      <c r="D18" s="10"/>
      <c r="E18" s="10"/>
      <c r="F18" s="10"/>
      <c r="G18" s="10"/>
      <c r="H18" s="10"/>
      <c r="I18" s="10"/>
      <c r="J18" s="11"/>
    </row>
    <row r="19" spans="1:10" x14ac:dyDescent="0.3">
      <c r="A19" s="6" t="s">
        <v>27</v>
      </c>
      <c r="B19" s="7"/>
      <c r="C19" s="7"/>
      <c r="D19" s="7"/>
      <c r="E19" s="7"/>
      <c r="F19" s="7"/>
      <c r="G19" s="7"/>
      <c r="H19" s="7"/>
      <c r="I19" s="7"/>
      <c r="J19" s="8"/>
    </row>
    <row r="20" spans="1:10" x14ac:dyDescent="0.3">
      <c r="A20" s="9" t="s">
        <v>28</v>
      </c>
      <c r="B20" s="10"/>
      <c r="C20" s="10"/>
      <c r="D20" s="10"/>
      <c r="E20" s="10"/>
      <c r="F20" s="10"/>
      <c r="G20" s="10"/>
      <c r="H20" s="10"/>
      <c r="I20" s="10"/>
      <c r="J20" s="11"/>
    </row>
    <row r="21" spans="1:10" x14ac:dyDescent="0.3">
      <c r="A21" s="6" t="s">
        <v>29</v>
      </c>
      <c r="B21" s="7"/>
      <c r="C21" s="7"/>
      <c r="D21" s="7"/>
      <c r="E21" s="7"/>
      <c r="F21" s="7"/>
      <c r="G21" s="7"/>
      <c r="H21" s="7"/>
      <c r="I21" s="7"/>
      <c r="J21" s="8"/>
    </row>
    <row r="22" spans="1:10" x14ac:dyDescent="0.3">
      <c r="A22" s="9" t="s">
        <v>30</v>
      </c>
      <c r="B22" s="10"/>
      <c r="C22" s="10"/>
      <c r="D22" s="10"/>
      <c r="E22" s="10"/>
      <c r="F22" s="10"/>
      <c r="G22" s="10"/>
      <c r="H22" s="10"/>
      <c r="I22" s="10"/>
      <c r="J22" s="11"/>
    </row>
    <row r="23" spans="1:10" x14ac:dyDescent="0.3">
      <c r="A23" s="6" t="s">
        <v>31</v>
      </c>
      <c r="B23" s="7"/>
      <c r="C23" s="7"/>
      <c r="D23" s="7"/>
      <c r="E23" s="7"/>
      <c r="F23" s="7"/>
      <c r="G23" s="7"/>
      <c r="H23" s="7"/>
      <c r="I23" s="7"/>
      <c r="J23" s="8"/>
    </row>
    <row r="24" spans="1:10" x14ac:dyDescent="0.3">
      <c r="A24" s="9" t="s">
        <v>32</v>
      </c>
      <c r="B24" s="10"/>
      <c r="C24" s="10"/>
      <c r="D24" s="10"/>
      <c r="E24" s="10"/>
      <c r="F24" s="10"/>
      <c r="G24" s="10"/>
      <c r="H24" s="10"/>
      <c r="I24" s="10"/>
      <c r="J24" s="11"/>
    </row>
    <row r="25" spans="1:10" x14ac:dyDescent="0.3">
      <c r="A25" s="6" t="s">
        <v>33</v>
      </c>
      <c r="B25" s="7"/>
      <c r="C25" s="7"/>
      <c r="D25" s="7"/>
      <c r="E25" s="7"/>
      <c r="F25" s="7"/>
      <c r="G25" s="7"/>
      <c r="H25" s="7"/>
      <c r="I25" s="7"/>
      <c r="J25" s="8"/>
    </row>
    <row r="26" spans="1:10" x14ac:dyDescent="0.3">
      <c r="A26" s="9" t="s">
        <v>34</v>
      </c>
      <c r="B26" s="10"/>
      <c r="C26" s="10"/>
      <c r="D26" s="10"/>
      <c r="E26" s="10"/>
      <c r="F26" s="10"/>
      <c r="G26" s="10"/>
      <c r="H26" s="10"/>
      <c r="I26" s="10"/>
      <c r="J26" s="11"/>
    </row>
    <row r="27" spans="1:10" x14ac:dyDescent="0.3">
      <c r="A27" s="6" t="s">
        <v>35</v>
      </c>
      <c r="B27" s="7"/>
      <c r="C27" s="7"/>
      <c r="D27" s="7"/>
      <c r="E27" s="7"/>
      <c r="F27" s="7"/>
      <c r="G27" s="7"/>
      <c r="H27" s="7"/>
      <c r="I27" s="7"/>
      <c r="J27" s="8"/>
    </row>
    <row r="28" spans="1:10" x14ac:dyDescent="0.3">
      <c r="A28" s="9" t="s">
        <v>36</v>
      </c>
      <c r="B28" s="10"/>
      <c r="C28" s="10"/>
      <c r="D28" s="10"/>
      <c r="E28" s="10"/>
      <c r="F28" s="10"/>
      <c r="G28" s="10"/>
      <c r="H28" s="10"/>
      <c r="I28" s="10"/>
      <c r="J28" s="11"/>
    </row>
    <row r="29" spans="1:10" x14ac:dyDescent="0.3">
      <c r="A29" s="6" t="s">
        <v>37</v>
      </c>
      <c r="B29" s="7"/>
      <c r="C29" s="7"/>
      <c r="D29" s="7"/>
      <c r="E29" s="7"/>
      <c r="F29" s="7"/>
      <c r="G29" s="7"/>
      <c r="H29" s="7"/>
      <c r="I29" s="7"/>
      <c r="J29" s="8"/>
    </row>
    <row r="30" spans="1:10" x14ac:dyDescent="0.3">
      <c r="A30" s="9" t="s">
        <v>38</v>
      </c>
      <c r="B30" s="10"/>
      <c r="C30" s="10"/>
      <c r="D30" s="10"/>
      <c r="E30" s="10"/>
      <c r="F30" s="10"/>
      <c r="G30" s="10"/>
      <c r="H30" s="10"/>
      <c r="I30" s="10"/>
      <c r="J30" s="11"/>
    </row>
    <row r="31" spans="1:10" x14ac:dyDescent="0.3">
      <c r="A31" s="6" t="s">
        <v>39</v>
      </c>
      <c r="B31" s="7"/>
      <c r="C31" s="7"/>
      <c r="D31" s="7"/>
      <c r="E31" s="7"/>
      <c r="F31" s="7"/>
      <c r="G31" s="7"/>
      <c r="H31" s="7"/>
      <c r="I31" s="7"/>
      <c r="J31" s="8"/>
    </row>
    <row r="32" spans="1:10" x14ac:dyDescent="0.3">
      <c r="A32" s="9" t="s">
        <v>40</v>
      </c>
      <c r="B32" s="10"/>
      <c r="C32" s="10"/>
      <c r="D32" s="10"/>
      <c r="E32" s="10"/>
      <c r="F32" s="10"/>
      <c r="G32" s="10"/>
      <c r="H32" s="10"/>
      <c r="I32" s="10"/>
      <c r="J32" s="11"/>
    </row>
    <row r="33" spans="1:10" x14ac:dyDescent="0.3">
      <c r="A33" s="6" t="s">
        <v>41</v>
      </c>
      <c r="B33" s="7"/>
      <c r="C33" s="7"/>
      <c r="D33" s="7"/>
      <c r="E33" s="7"/>
      <c r="F33" s="7"/>
      <c r="G33" s="7"/>
      <c r="H33" s="7"/>
      <c r="I33" s="7"/>
      <c r="J33" s="8"/>
    </row>
    <row r="34" spans="1:10" x14ac:dyDescent="0.3">
      <c r="A34" s="9" t="s">
        <v>42</v>
      </c>
      <c r="B34" s="10"/>
      <c r="C34" s="10"/>
      <c r="D34" s="10"/>
      <c r="E34" s="10"/>
      <c r="F34" s="10"/>
      <c r="G34" s="10"/>
      <c r="H34" s="10"/>
      <c r="I34" s="10"/>
      <c r="J34" s="11"/>
    </row>
    <row r="35" spans="1:10" x14ac:dyDescent="0.3">
      <c r="A35" s="6" t="s">
        <v>43</v>
      </c>
      <c r="B35" s="7"/>
      <c r="C35" s="7"/>
      <c r="D35" s="7"/>
      <c r="E35" s="7"/>
      <c r="F35" s="7"/>
      <c r="G35" s="7"/>
      <c r="H35" s="7"/>
      <c r="I35" s="7"/>
      <c r="J35" s="8"/>
    </row>
    <row r="36" spans="1:10" x14ac:dyDescent="0.3">
      <c r="A36" s="9" t="s">
        <v>44</v>
      </c>
      <c r="B36" s="10"/>
      <c r="C36" s="10"/>
      <c r="D36" s="10"/>
      <c r="E36" s="10"/>
      <c r="F36" s="10"/>
      <c r="G36" s="10"/>
      <c r="H36" s="10"/>
      <c r="I36" s="10"/>
      <c r="J36" s="11"/>
    </row>
    <row r="37" spans="1:10" x14ac:dyDescent="0.3">
      <c r="A37" s="6" t="s">
        <v>45</v>
      </c>
      <c r="B37" s="7"/>
      <c r="C37" s="7"/>
      <c r="D37" s="7"/>
      <c r="E37" s="7"/>
      <c r="F37" s="7"/>
      <c r="G37" s="7"/>
      <c r="H37" s="7"/>
      <c r="I37" s="7"/>
      <c r="J37" s="8"/>
    </row>
    <row r="38" spans="1:10" x14ac:dyDescent="0.3">
      <c r="A38" s="9" t="s">
        <v>46</v>
      </c>
      <c r="B38" s="10"/>
      <c r="C38" s="10"/>
      <c r="D38" s="10"/>
      <c r="E38" s="10"/>
      <c r="F38" s="10"/>
      <c r="G38" s="10"/>
      <c r="H38" s="10"/>
      <c r="I38" s="10"/>
      <c r="J38" s="11"/>
    </row>
    <row r="39" spans="1:10" x14ac:dyDescent="0.3">
      <c r="A39" s="6" t="s">
        <v>47</v>
      </c>
      <c r="B39" s="7"/>
      <c r="C39" s="7"/>
      <c r="D39" s="7"/>
      <c r="E39" s="7"/>
      <c r="F39" s="7"/>
      <c r="G39" s="7"/>
      <c r="H39" s="7"/>
      <c r="I39" s="7"/>
      <c r="J39" s="8"/>
    </row>
    <row r="40" spans="1:10" x14ac:dyDescent="0.3">
      <c r="A40" s="18" t="s">
        <v>48</v>
      </c>
      <c r="B40" s="19"/>
      <c r="C40" s="19"/>
      <c r="D40" s="19"/>
      <c r="E40" s="19"/>
      <c r="F40" s="19"/>
      <c r="G40" s="19"/>
      <c r="H40" s="19"/>
      <c r="I40" s="19"/>
      <c r="J40" s="20"/>
    </row>
    <row r="41" spans="1:10" x14ac:dyDescent="0.3">
      <c r="A41" s="21" t="s">
        <v>49</v>
      </c>
      <c r="B41" s="22"/>
      <c r="C41" s="22"/>
      <c r="D41" s="22"/>
      <c r="E41" s="22"/>
      <c r="F41" s="22"/>
      <c r="G41" s="22"/>
      <c r="H41" s="22"/>
      <c r="I41" s="22"/>
      <c r="J41" s="23"/>
    </row>
    <row r="42" spans="1:10" x14ac:dyDescent="0.3">
      <c r="A42" s="18" t="s">
        <v>50</v>
      </c>
      <c r="B42" s="19"/>
      <c r="C42" s="19"/>
      <c r="D42" s="19"/>
      <c r="E42" s="19"/>
      <c r="F42" s="19"/>
      <c r="G42" s="19"/>
      <c r="H42" s="19"/>
      <c r="I42" s="19"/>
      <c r="J42" s="20"/>
    </row>
    <row r="43" spans="1:10" x14ac:dyDescent="0.3">
      <c r="A43" s="21" t="s">
        <v>51</v>
      </c>
      <c r="B43" s="22"/>
      <c r="C43" s="22"/>
      <c r="D43" s="22"/>
      <c r="E43" s="22"/>
      <c r="F43" s="22"/>
      <c r="G43" s="22"/>
      <c r="H43" s="22"/>
      <c r="I43" s="22"/>
      <c r="J43" s="23"/>
    </row>
    <row r="44" spans="1:10" x14ac:dyDescent="0.3">
      <c r="A44" s="6" t="s">
        <v>52</v>
      </c>
      <c r="B44" s="7"/>
      <c r="C44" s="7"/>
      <c r="D44" s="7"/>
      <c r="E44" s="7"/>
      <c r="F44" s="7"/>
      <c r="G44" s="7"/>
      <c r="H44" s="7"/>
      <c r="I44" s="7"/>
      <c r="J44" s="8"/>
    </row>
    <row r="45" spans="1:10" x14ac:dyDescent="0.3">
      <c r="A45" s="9" t="s">
        <v>53</v>
      </c>
      <c r="B45" s="10"/>
      <c r="C45" s="10"/>
      <c r="D45" s="10"/>
      <c r="E45" s="10"/>
      <c r="F45" s="10"/>
      <c r="G45" s="10"/>
      <c r="H45" s="10"/>
      <c r="I45" s="10"/>
      <c r="J45" s="11"/>
    </row>
    <row r="46" spans="1:10" x14ac:dyDescent="0.3">
      <c r="A46" s="6" t="s">
        <v>54</v>
      </c>
      <c r="B46" s="7"/>
      <c r="C46" s="7"/>
      <c r="D46" s="7"/>
      <c r="E46" s="7"/>
      <c r="F46" s="7"/>
      <c r="G46" s="7"/>
      <c r="H46" s="7"/>
      <c r="I46" s="7"/>
      <c r="J46" s="8"/>
    </row>
    <row r="47" spans="1:10" x14ac:dyDescent="0.3">
      <c r="A47" s="9" t="s">
        <v>55</v>
      </c>
      <c r="B47" s="10"/>
      <c r="C47" s="10"/>
      <c r="D47" s="10"/>
      <c r="E47" s="10"/>
      <c r="F47" s="10"/>
      <c r="G47" s="10"/>
      <c r="H47" s="10"/>
      <c r="I47" s="10"/>
      <c r="J47" s="11"/>
    </row>
    <row r="48" spans="1:10" x14ac:dyDescent="0.3">
      <c r="A48" s="6" t="s">
        <v>56</v>
      </c>
      <c r="B48" s="7"/>
      <c r="C48" s="7"/>
      <c r="D48" s="7"/>
      <c r="E48" s="7"/>
      <c r="F48" s="7"/>
      <c r="G48" s="7"/>
      <c r="H48" s="7"/>
      <c r="I48" s="7"/>
      <c r="J48" s="8"/>
    </row>
    <row r="49" spans="1:10" x14ac:dyDescent="0.3">
      <c r="A49" s="9" t="s">
        <v>57</v>
      </c>
      <c r="B49" s="10"/>
      <c r="C49" s="10"/>
      <c r="D49" s="10"/>
      <c r="E49" s="10"/>
      <c r="F49" s="10"/>
      <c r="G49" s="10"/>
      <c r="H49" s="10"/>
      <c r="I49" s="10"/>
      <c r="J49" s="11"/>
    </row>
    <row r="50" spans="1:10" x14ac:dyDescent="0.3">
      <c r="A50" s="6" t="s">
        <v>58</v>
      </c>
      <c r="B50" s="7"/>
      <c r="C50" s="7"/>
      <c r="D50" s="7"/>
      <c r="E50" s="7"/>
      <c r="F50" s="7"/>
      <c r="G50" s="7"/>
      <c r="H50" s="7"/>
      <c r="I50" s="7"/>
      <c r="J50" s="8"/>
    </row>
    <row r="51" spans="1:10" x14ac:dyDescent="0.3">
      <c r="A51" s="9" t="s">
        <v>59</v>
      </c>
      <c r="B51" s="10"/>
      <c r="C51" s="10"/>
      <c r="D51" s="10"/>
      <c r="E51" s="10"/>
      <c r="F51" s="10"/>
      <c r="G51" s="10"/>
      <c r="H51" s="10"/>
      <c r="I51" s="10"/>
      <c r="J51" s="11"/>
    </row>
    <row r="52" spans="1:10" x14ac:dyDescent="0.3">
      <c r="A52" s="6" t="s">
        <v>60</v>
      </c>
      <c r="B52" s="7"/>
      <c r="C52" s="7"/>
      <c r="D52" s="7"/>
      <c r="E52" s="7"/>
      <c r="F52" s="7"/>
      <c r="G52" s="7"/>
      <c r="H52" s="7"/>
      <c r="I52" s="7"/>
      <c r="J52" s="8"/>
    </row>
    <row r="53" spans="1:10" x14ac:dyDescent="0.3">
      <c r="A53" s="9" t="s">
        <v>61</v>
      </c>
      <c r="B53" s="10"/>
      <c r="C53" s="10"/>
      <c r="D53" s="10"/>
      <c r="E53" s="10"/>
      <c r="F53" s="10"/>
      <c r="G53" s="10"/>
      <c r="H53" s="10"/>
      <c r="I53" s="10"/>
      <c r="J53" s="11"/>
    </row>
    <row r="54" spans="1:10" x14ac:dyDescent="0.3">
      <c r="A54" s="6" t="s">
        <v>62</v>
      </c>
      <c r="B54" s="7"/>
      <c r="C54" s="7"/>
      <c r="D54" s="7"/>
      <c r="E54" s="7"/>
      <c r="F54" s="7"/>
      <c r="G54" s="7"/>
      <c r="H54" s="7"/>
      <c r="I54" s="7"/>
      <c r="J54" s="8"/>
    </row>
    <row r="55" spans="1:10" x14ac:dyDescent="0.3">
      <c r="A55" s="30" t="s">
        <v>63</v>
      </c>
      <c r="B55" s="31">
        <f>SUM(B12,B13,B14,B15)</f>
        <v>0</v>
      </c>
      <c r="C55" s="31">
        <f t="shared" ref="C55:J55" si="0">SUM(C12,C13,C14,C15)</f>
        <v>0</v>
      </c>
      <c r="D55" s="31">
        <f t="shared" si="0"/>
        <v>0</v>
      </c>
      <c r="E55" s="31">
        <f t="shared" si="0"/>
        <v>0</v>
      </c>
      <c r="F55" s="31">
        <f t="shared" si="0"/>
        <v>0</v>
      </c>
      <c r="G55" s="31">
        <f t="shared" si="0"/>
        <v>0</v>
      </c>
      <c r="H55" s="31">
        <f t="shared" si="0"/>
        <v>0</v>
      </c>
      <c r="I55" s="31">
        <f t="shared" si="0"/>
        <v>0</v>
      </c>
      <c r="J55" s="32">
        <f t="shared" si="0"/>
        <v>0</v>
      </c>
    </row>
    <row r="56" spans="1:10" x14ac:dyDescent="0.3">
      <c r="A56" s="27" t="s">
        <v>64</v>
      </c>
      <c r="B56" s="28">
        <f>SUM(B40,B41,B42,B43)</f>
        <v>0</v>
      </c>
      <c r="C56" s="28">
        <f t="shared" ref="C56:J56" si="1">SUM(C40,C41,C42,C43)</f>
        <v>0</v>
      </c>
      <c r="D56" s="28">
        <f t="shared" si="1"/>
        <v>0</v>
      </c>
      <c r="E56" s="28">
        <f t="shared" si="1"/>
        <v>0</v>
      </c>
      <c r="F56" s="28">
        <f t="shared" si="1"/>
        <v>0</v>
      </c>
      <c r="G56" s="28">
        <f t="shared" si="1"/>
        <v>0</v>
      </c>
      <c r="H56" s="28">
        <f t="shared" si="1"/>
        <v>0</v>
      </c>
      <c r="I56" s="28">
        <f t="shared" si="1"/>
        <v>0</v>
      </c>
      <c r="J56" s="29">
        <f t="shared" si="1"/>
        <v>0</v>
      </c>
    </row>
    <row r="57" spans="1:10" x14ac:dyDescent="0.3">
      <c r="A57" s="24" t="s">
        <v>65</v>
      </c>
      <c r="B57" s="25">
        <f>SUM(B2:B54)</f>
        <v>0</v>
      </c>
      <c r="C57" s="25">
        <f t="shared" ref="C57:J57" si="2">SUM(C2:C54)</f>
        <v>0</v>
      </c>
      <c r="D57" s="25">
        <f t="shared" si="2"/>
        <v>0</v>
      </c>
      <c r="E57" s="25">
        <f t="shared" si="2"/>
        <v>0</v>
      </c>
      <c r="F57" s="25">
        <f t="shared" si="2"/>
        <v>0</v>
      </c>
      <c r="G57" s="25">
        <f t="shared" si="2"/>
        <v>0</v>
      </c>
      <c r="H57" s="25">
        <f t="shared" si="2"/>
        <v>0</v>
      </c>
      <c r="I57" s="25">
        <f t="shared" si="2"/>
        <v>0</v>
      </c>
      <c r="J57" s="26">
        <f t="shared" si="2"/>
        <v>0</v>
      </c>
    </row>
  </sheetData>
  <autoFilter ref="A1:J57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style="1" customWidth="1"/>
    <col min="2" max="10" width="15.6640625" customWidth="1"/>
  </cols>
  <sheetData>
    <row r="1" spans="1:10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/>
      <c r="C2" s="4"/>
      <c r="D2" s="4"/>
      <c r="E2" s="4"/>
      <c r="F2" s="4"/>
      <c r="G2" s="4"/>
      <c r="H2" s="4"/>
      <c r="I2" s="4"/>
      <c r="J2" s="5"/>
    </row>
    <row r="3" spans="1:10" x14ac:dyDescent="0.3">
      <c r="A3" s="6" t="s">
        <v>11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3">
      <c r="A4" s="9" t="s">
        <v>12</v>
      </c>
      <c r="B4" s="10"/>
      <c r="C4" s="10"/>
      <c r="D4" s="10"/>
      <c r="E4" s="10"/>
      <c r="F4" s="10"/>
      <c r="G4" s="10"/>
      <c r="H4" s="10"/>
      <c r="I4" s="10"/>
      <c r="J4" s="11"/>
    </row>
    <row r="5" spans="1:10" x14ac:dyDescent="0.3">
      <c r="A5" s="6" t="s">
        <v>13</v>
      </c>
      <c r="B5" s="7"/>
      <c r="C5" s="7"/>
      <c r="D5" s="7"/>
      <c r="E5" s="7"/>
      <c r="F5" s="7"/>
      <c r="G5" s="7"/>
      <c r="H5" s="7"/>
      <c r="I5" s="7"/>
      <c r="J5" s="8"/>
    </row>
    <row r="6" spans="1:10" x14ac:dyDescent="0.3">
      <c r="A6" s="9" t="s">
        <v>14</v>
      </c>
      <c r="B6" s="10"/>
      <c r="C6" s="10"/>
      <c r="D6" s="10"/>
      <c r="E6" s="10"/>
      <c r="F6" s="10"/>
      <c r="G6" s="10"/>
      <c r="H6" s="10"/>
      <c r="I6" s="10"/>
      <c r="J6" s="11"/>
    </row>
    <row r="7" spans="1:10" x14ac:dyDescent="0.3">
      <c r="A7" s="6" t="s">
        <v>15</v>
      </c>
      <c r="B7" s="7"/>
      <c r="C7" s="7"/>
      <c r="D7" s="7"/>
      <c r="E7" s="7"/>
      <c r="F7" s="7"/>
      <c r="G7" s="7"/>
      <c r="H7" s="7"/>
      <c r="I7" s="7"/>
      <c r="J7" s="8"/>
    </row>
    <row r="8" spans="1:10" x14ac:dyDescent="0.3">
      <c r="A8" s="9" t="s">
        <v>16</v>
      </c>
      <c r="B8" s="10"/>
      <c r="C8" s="10"/>
      <c r="D8" s="10"/>
      <c r="E8" s="10"/>
      <c r="F8" s="10"/>
      <c r="G8" s="10"/>
      <c r="H8" s="10"/>
      <c r="I8" s="10"/>
      <c r="J8" s="11"/>
    </row>
    <row r="9" spans="1:10" x14ac:dyDescent="0.3">
      <c r="A9" s="6" t="s">
        <v>17</v>
      </c>
      <c r="B9" s="7"/>
      <c r="C9" s="7"/>
      <c r="D9" s="7"/>
      <c r="E9" s="7"/>
      <c r="F9" s="7"/>
      <c r="G9" s="7"/>
      <c r="H9" s="7"/>
      <c r="I9" s="7"/>
      <c r="J9" s="8"/>
    </row>
    <row r="10" spans="1:10" x14ac:dyDescent="0.3">
      <c r="A10" s="9" t="s">
        <v>18</v>
      </c>
      <c r="B10" s="10"/>
      <c r="C10" s="10"/>
      <c r="D10" s="10"/>
      <c r="E10" s="10"/>
      <c r="F10" s="10"/>
      <c r="G10" s="10"/>
      <c r="H10" s="10"/>
      <c r="I10" s="10"/>
      <c r="J10" s="11"/>
    </row>
    <row r="11" spans="1:10" x14ac:dyDescent="0.3">
      <c r="A11" s="6" t="s">
        <v>19</v>
      </c>
      <c r="B11" s="7"/>
      <c r="C11" s="7"/>
      <c r="D11" s="7"/>
      <c r="E11" s="7"/>
      <c r="F11" s="7"/>
      <c r="G11" s="7"/>
      <c r="H11" s="7"/>
      <c r="I11" s="7"/>
      <c r="J11" s="8"/>
    </row>
    <row r="12" spans="1:10" x14ac:dyDescent="0.3">
      <c r="A12" s="12" t="s">
        <v>20</v>
      </c>
      <c r="B12" s="13"/>
      <c r="C12" s="13"/>
      <c r="D12" s="13"/>
      <c r="E12" s="13"/>
      <c r="F12" s="13"/>
      <c r="G12" s="13"/>
      <c r="H12" s="13"/>
      <c r="I12" s="13"/>
      <c r="J12" s="14"/>
    </row>
    <row r="13" spans="1:10" x14ac:dyDescent="0.3">
      <c r="A13" s="15" t="s">
        <v>21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 x14ac:dyDescent="0.3">
      <c r="A14" s="12" t="s">
        <v>22</v>
      </c>
      <c r="B14" s="13"/>
      <c r="C14" s="13"/>
      <c r="D14" s="13"/>
      <c r="E14" s="13"/>
      <c r="F14" s="13"/>
      <c r="G14" s="13"/>
      <c r="H14" s="13"/>
      <c r="I14" s="13"/>
      <c r="J14" s="14"/>
    </row>
    <row r="15" spans="1:10" x14ac:dyDescent="0.3">
      <c r="A15" s="15" t="s">
        <v>23</v>
      </c>
      <c r="B15" s="16"/>
      <c r="C15" s="16"/>
      <c r="D15" s="16"/>
      <c r="E15" s="16"/>
      <c r="F15" s="16"/>
      <c r="G15" s="16"/>
      <c r="H15" s="16"/>
      <c r="I15" s="16"/>
      <c r="J15" s="17"/>
    </row>
    <row r="16" spans="1:10" x14ac:dyDescent="0.3">
      <c r="A16" s="9" t="s">
        <v>24</v>
      </c>
      <c r="B16" s="10"/>
      <c r="C16" s="10"/>
      <c r="D16" s="10"/>
      <c r="E16" s="10"/>
      <c r="F16" s="10"/>
      <c r="G16" s="10"/>
      <c r="H16" s="10"/>
      <c r="I16" s="10"/>
      <c r="J16" s="11"/>
    </row>
    <row r="17" spans="1:10" x14ac:dyDescent="0.3">
      <c r="A17" s="6" t="s">
        <v>25</v>
      </c>
      <c r="B17" s="7"/>
      <c r="C17" s="7"/>
      <c r="D17" s="7"/>
      <c r="E17" s="7"/>
      <c r="F17" s="7"/>
      <c r="G17" s="7"/>
      <c r="H17" s="7"/>
      <c r="I17" s="7"/>
      <c r="J17" s="8"/>
    </row>
    <row r="18" spans="1:10" x14ac:dyDescent="0.3">
      <c r="A18" s="9" t="s">
        <v>26</v>
      </c>
      <c r="B18" s="10"/>
      <c r="C18" s="10"/>
      <c r="D18" s="10"/>
      <c r="E18" s="10"/>
      <c r="F18" s="10"/>
      <c r="G18" s="10"/>
      <c r="H18" s="10"/>
      <c r="I18" s="10"/>
      <c r="J18" s="11"/>
    </row>
    <row r="19" spans="1:10" x14ac:dyDescent="0.3">
      <c r="A19" s="6" t="s">
        <v>27</v>
      </c>
      <c r="B19" s="7"/>
      <c r="C19" s="7"/>
      <c r="D19" s="7"/>
      <c r="E19" s="7"/>
      <c r="F19" s="7"/>
      <c r="G19" s="7"/>
      <c r="H19" s="7"/>
      <c r="I19" s="7"/>
      <c r="J19" s="8"/>
    </row>
    <row r="20" spans="1:10" x14ac:dyDescent="0.3">
      <c r="A20" s="9" t="s">
        <v>28</v>
      </c>
      <c r="B20" s="10"/>
      <c r="C20" s="10"/>
      <c r="D20" s="10"/>
      <c r="E20" s="10"/>
      <c r="F20" s="10"/>
      <c r="G20" s="10"/>
      <c r="H20" s="10"/>
      <c r="I20" s="10"/>
      <c r="J20" s="11"/>
    </row>
    <row r="21" spans="1:10" x14ac:dyDescent="0.3">
      <c r="A21" s="6" t="s">
        <v>29</v>
      </c>
      <c r="B21" s="7"/>
      <c r="C21" s="7"/>
      <c r="D21" s="7"/>
      <c r="E21" s="7"/>
      <c r="F21" s="7"/>
      <c r="G21" s="7"/>
      <c r="H21" s="7"/>
      <c r="I21" s="7"/>
      <c r="J21" s="8"/>
    </row>
    <row r="22" spans="1:10" x14ac:dyDescent="0.3">
      <c r="A22" s="9" t="s">
        <v>30</v>
      </c>
      <c r="B22" s="10"/>
      <c r="C22" s="10"/>
      <c r="D22" s="10"/>
      <c r="E22" s="10"/>
      <c r="F22" s="10"/>
      <c r="G22" s="10"/>
      <c r="H22" s="10"/>
      <c r="I22" s="10"/>
      <c r="J22" s="11"/>
    </row>
    <row r="23" spans="1:10" x14ac:dyDescent="0.3">
      <c r="A23" s="6" t="s">
        <v>31</v>
      </c>
      <c r="B23" s="7"/>
      <c r="C23" s="7"/>
      <c r="D23" s="7"/>
      <c r="E23" s="7"/>
      <c r="F23" s="7"/>
      <c r="G23" s="7"/>
      <c r="H23" s="7"/>
      <c r="I23" s="7"/>
      <c r="J23" s="8"/>
    </row>
    <row r="24" spans="1:10" x14ac:dyDescent="0.3">
      <c r="A24" s="9" t="s">
        <v>32</v>
      </c>
      <c r="B24" s="10"/>
      <c r="C24" s="10"/>
      <c r="D24" s="10"/>
      <c r="E24" s="10"/>
      <c r="F24" s="10"/>
      <c r="G24" s="10"/>
      <c r="H24" s="10"/>
      <c r="I24" s="10"/>
      <c r="J24" s="11"/>
    </row>
    <row r="25" spans="1:10" x14ac:dyDescent="0.3">
      <c r="A25" s="6" t="s">
        <v>33</v>
      </c>
      <c r="B25" s="7"/>
      <c r="C25" s="7"/>
      <c r="D25" s="7"/>
      <c r="E25" s="7"/>
      <c r="F25" s="7"/>
      <c r="G25" s="7"/>
      <c r="H25" s="7"/>
      <c r="I25" s="7"/>
      <c r="J25" s="8"/>
    </row>
    <row r="26" spans="1:10" x14ac:dyDescent="0.3">
      <c r="A26" s="9" t="s">
        <v>34</v>
      </c>
      <c r="B26" s="10"/>
      <c r="C26" s="10"/>
      <c r="D26" s="10"/>
      <c r="E26" s="10"/>
      <c r="F26" s="10"/>
      <c r="G26" s="10"/>
      <c r="H26" s="10"/>
      <c r="I26" s="10"/>
      <c r="J26" s="11"/>
    </row>
    <row r="27" spans="1:10" x14ac:dyDescent="0.3">
      <c r="A27" s="6" t="s">
        <v>35</v>
      </c>
      <c r="B27" s="7"/>
      <c r="C27" s="7"/>
      <c r="D27" s="7"/>
      <c r="E27" s="7"/>
      <c r="F27" s="7"/>
      <c r="G27" s="7"/>
      <c r="H27" s="7"/>
      <c r="I27" s="7"/>
      <c r="J27" s="8"/>
    </row>
    <row r="28" spans="1:10" x14ac:dyDescent="0.3">
      <c r="A28" s="9" t="s">
        <v>36</v>
      </c>
      <c r="B28" s="10"/>
      <c r="C28" s="10"/>
      <c r="D28" s="10"/>
      <c r="E28" s="10"/>
      <c r="F28" s="10"/>
      <c r="G28" s="10"/>
      <c r="H28" s="10"/>
      <c r="I28" s="10"/>
      <c r="J28" s="11"/>
    </row>
    <row r="29" spans="1:10" x14ac:dyDescent="0.3">
      <c r="A29" s="6" t="s">
        <v>37</v>
      </c>
      <c r="B29" s="7"/>
      <c r="C29" s="7"/>
      <c r="D29" s="7"/>
      <c r="E29" s="7"/>
      <c r="F29" s="7"/>
      <c r="G29" s="7"/>
      <c r="H29" s="7"/>
      <c r="I29" s="7"/>
      <c r="J29" s="8"/>
    </row>
    <row r="30" spans="1:10" x14ac:dyDescent="0.3">
      <c r="A30" s="9" t="s">
        <v>38</v>
      </c>
      <c r="B30" s="10"/>
      <c r="C30" s="10"/>
      <c r="D30" s="10"/>
      <c r="E30" s="10"/>
      <c r="F30" s="10"/>
      <c r="G30" s="10"/>
      <c r="H30" s="10"/>
      <c r="I30" s="10"/>
      <c r="J30" s="11"/>
    </row>
    <row r="31" spans="1:10" x14ac:dyDescent="0.3">
      <c r="A31" s="6" t="s">
        <v>39</v>
      </c>
      <c r="B31" s="7"/>
      <c r="C31" s="7"/>
      <c r="D31" s="7"/>
      <c r="E31" s="7"/>
      <c r="F31" s="7"/>
      <c r="G31" s="7"/>
      <c r="H31" s="7"/>
      <c r="I31" s="7"/>
      <c r="J31" s="8"/>
    </row>
    <row r="32" spans="1:10" x14ac:dyDescent="0.3">
      <c r="A32" s="9" t="s">
        <v>40</v>
      </c>
      <c r="B32" s="10"/>
      <c r="C32" s="10"/>
      <c r="D32" s="10"/>
      <c r="E32" s="10"/>
      <c r="F32" s="10"/>
      <c r="G32" s="10"/>
      <c r="H32" s="10"/>
      <c r="I32" s="10"/>
      <c r="J32" s="11"/>
    </row>
    <row r="33" spans="1:10" x14ac:dyDescent="0.3">
      <c r="A33" s="6" t="s">
        <v>41</v>
      </c>
      <c r="B33" s="7"/>
      <c r="C33" s="7"/>
      <c r="D33" s="7"/>
      <c r="E33" s="7"/>
      <c r="F33" s="7"/>
      <c r="G33" s="7"/>
      <c r="H33" s="7"/>
      <c r="I33" s="7"/>
      <c r="J33" s="8"/>
    </row>
    <row r="34" spans="1:10" x14ac:dyDescent="0.3">
      <c r="A34" s="9" t="s">
        <v>42</v>
      </c>
      <c r="B34" s="10"/>
      <c r="C34" s="10"/>
      <c r="D34" s="10"/>
      <c r="E34" s="10"/>
      <c r="F34" s="10"/>
      <c r="G34" s="10"/>
      <c r="H34" s="10"/>
      <c r="I34" s="10"/>
      <c r="J34" s="11"/>
    </row>
    <row r="35" spans="1:10" x14ac:dyDescent="0.3">
      <c r="A35" s="6" t="s">
        <v>43</v>
      </c>
      <c r="B35" s="7"/>
      <c r="C35" s="7"/>
      <c r="D35" s="7"/>
      <c r="E35" s="7"/>
      <c r="F35" s="7"/>
      <c r="G35" s="7"/>
      <c r="H35" s="7"/>
      <c r="I35" s="7"/>
      <c r="J35" s="8"/>
    </row>
    <row r="36" spans="1:10" x14ac:dyDescent="0.3">
      <c r="A36" s="9" t="s">
        <v>44</v>
      </c>
      <c r="B36" s="10"/>
      <c r="C36" s="10"/>
      <c r="D36" s="10"/>
      <c r="E36" s="10"/>
      <c r="F36" s="10"/>
      <c r="G36" s="10"/>
      <c r="H36" s="10"/>
      <c r="I36" s="10"/>
      <c r="J36" s="11"/>
    </row>
    <row r="37" spans="1:10" x14ac:dyDescent="0.3">
      <c r="A37" s="6" t="s">
        <v>45</v>
      </c>
      <c r="B37" s="7"/>
      <c r="C37" s="7"/>
      <c r="D37" s="7"/>
      <c r="E37" s="7"/>
      <c r="F37" s="7"/>
      <c r="G37" s="7"/>
      <c r="H37" s="7"/>
      <c r="I37" s="7"/>
      <c r="J37" s="8"/>
    </row>
    <row r="38" spans="1:10" x14ac:dyDescent="0.3">
      <c r="A38" s="9" t="s">
        <v>46</v>
      </c>
      <c r="B38" s="10"/>
      <c r="C38" s="10"/>
      <c r="D38" s="10"/>
      <c r="E38" s="10"/>
      <c r="F38" s="10"/>
      <c r="G38" s="10"/>
      <c r="H38" s="10"/>
      <c r="I38" s="10"/>
      <c r="J38" s="11"/>
    </row>
    <row r="39" spans="1:10" x14ac:dyDescent="0.3">
      <c r="A39" s="6" t="s">
        <v>47</v>
      </c>
      <c r="B39" s="7"/>
      <c r="C39" s="7"/>
      <c r="D39" s="7"/>
      <c r="E39" s="7"/>
      <c r="F39" s="7"/>
      <c r="G39" s="7"/>
      <c r="H39" s="7"/>
      <c r="I39" s="7"/>
      <c r="J39" s="8"/>
    </row>
    <row r="40" spans="1:10" x14ac:dyDescent="0.3">
      <c r="A40" s="18" t="s">
        <v>48</v>
      </c>
      <c r="B40" s="19"/>
      <c r="C40" s="19"/>
      <c r="D40" s="19"/>
      <c r="E40" s="19"/>
      <c r="F40" s="19"/>
      <c r="G40" s="19"/>
      <c r="H40" s="19"/>
      <c r="I40" s="19"/>
      <c r="J40" s="20"/>
    </row>
    <row r="41" spans="1:10" x14ac:dyDescent="0.3">
      <c r="A41" s="21" t="s">
        <v>49</v>
      </c>
      <c r="B41" s="22"/>
      <c r="C41" s="22"/>
      <c r="D41" s="22"/>
      <c r="E41" s="22"/>
      <c r="F41" s="22"/>
      <c r="G41" s="22"/>
      <c r="H41" s="22"/>
      <c r="I41" s="22"/>
      <c r="J41" s="23"/>
    </row>
    <row r="42" spans="1:10" x14ac:dyDescent="0.3">
      <c r="A42" s="18" t="s">
        <v>50</v>
      </c>
      <c r="B42" s="19"/>
      <c r="C42" s="19"/>
      <c r="D42" s="19"/>
      <c r="E42" s="19"/>
      <c r="F42" s="19"/>
      <c r="G42" s="19"/>
      <c r="H42" s="19"/>
      <c r="I42" s="19"/>
      <c r="J42" s="20"/>
    </row>
    <row r="43" spans="1:10" x14ac:dyDescent="0.3">
      <c r="A43" s="21" t="s">
        <v>51</v>
      </c>
      <c r="B43" s="22"/>
      <c r="C43" s="22"/>
      <c r="D43" s="22"/>
      <c r="E43" s="22"/>
      <c r="F43" s="22"/>
      <c r="G43" s="22"/>
      <c r="H43" s="22"/>
      <c r="I43" s="22"/>
      <c r="J43" s="23"/>
    </row>
    <row r="44" spans="1:10" x14ac:dyDescent="0.3">
      <c r="A44" s="6" t="s">
        <v>52</v>
      </c>
      <c r="B44" s="7"/>
      <c r="C44" s="7"/>
      <c r="D44" s="7"/>
      <c r="E44" s="7"/>
      <c r="F44" s="7"/>
      <c r="G44" s="7"/>
      <c r="H44" s="7"/>
      <c r="I44" s="7"/>
      <c r="J44" s="8"/>
    </row>
    <row r="45" spans="1:10" x14ac:dyDescent="0.3">
      <c r="A45" s="9" t="s">
        <v>53</v>
      </c>
      <c r="B45" s="10"/>
      <c r="C45" s="10"/>
      <c r="D45" s="10"/>
      <c r="E45" s="10"/>
      <c r="F45" s="10"/>
      <c r="G45" s="10"/>
      <c r="H45" s="10"/>
      <c r="I45" s="10"/>
      <c r="J45" s="11"/>
    </row>
    <row r="46" spans="1:10" x14ac:dyDescent="0.3">
      <c r="A46" s="6" t="s">
        <v>54</v>
      </c>
      <c r="B46" s="7"/>
      <c r="C46" s="7"/>
      <c r="D46" s="7"/>
      <c r="E46" s="7"/>
      <c r="F46" s="7"/>
      <c r="G46" s="7"/>
      <c r="H46" s="7"/>
      <c r="I46" s="7"/>
      <c r="J46" s="8"/>
    </row>
    <row r="47" spans="1:10" x14ac:dyDescent="0.3">
      <c r="A47" s="9" t="s">
        <v>55</v>
      </c>
      <c r="B47" s="10"/>
      <c r="C47" s="10"/>
      <c r="D47" s="10"/>
      <c r="E47" s="10"/>
      <c r="F47" s="10"/>
      <c r="G47" s="10"/>
      <c r="H47" s="10"/>
      <c r="I47" s="10"/>
      <c r="J47" s="11"/>
    </row>
    <row r="48" spans="1:10" x14ac:dyDescent="0.3">
      <c r="A48" s="6" t="s">
        <v>56</v>
      </c>
      <c r="B48" s="7"/>
      <c r="C48" s="7"/>
      <c r="D48" s="7"/>
      <c r="E48" s="7"/>
      <c r="F48" s="7"/>
      <c r="G48" s="7"/>
      <c r="H48" s="7"/>
      <c r="I48" s="7"/>
      <c r="J48" s="8"/>
    </row>
    <row r="49" spans="1:10" x14ac:dyDescent="0.3">
      <c r="A49" s="9" t="s">
        <v>57</v>
      </c>
      <c r="B49" s="10"/>
      <c r="C49" s="10"/>
      <c r="D49" s="10"/>
      <c r="E49" s="10"/>
      <c r="F49" s="10"/>
      <c r="G49" s="10"/>
      <c r="H49" s="10"/>
      <c r="I49" s="10"/>
      <c r="J49" s="11"/>
    </row>
    <row r="50" spans="1:10" x14ac:dyDescent="0.3">
      <c r="A50" s="6" t="s">
        <v>58</v>
      </c>
      <c r="B50" s="7"/>
      <c r="C50" s="7"/>
      <c r="D50" s="7"/>
      <c r="E50" s="7"/>
      <c r="F50" s="7"/>
      <c r="G50" s="7"/>
      <c r="H50" s="7"/>
      <c r="I50" s="7"/>
      <c r="J50" s="8"/>
    </row>
    <row r="51" spans="1:10" x14ac:dyDescent="0.3">
      <c r="A51" s="9" t="s">
        <v>59</v>
      </c>
      <c r="B51" s="10"/>
      <c r="C51" s="10"/>
      <c r="D51" s="10"/>
      <c r="E51" s="10"/>
      <c r="F51" s="10"/>
      <c r="G51" s="10"/>
      <c r="H51" s="10"/>
      <c r="I51" s="10"/>
      <c r="J51" s="11"/>
    </row>
    <row r="52" spans="1:10" x14ac:dyDescent="0.3">
      <c r="A52" s="6" t="s">
        <v>60</v>
      </c>
      <c r="B52" s="7"/>
      <c r="C52" s="7"/>
      <c r="D52" s="7"/>
      <c r="E52" s="7"/>
      <c r="F52" s="7"/>
      <c r="G52" s="7"/>
      <c r="H52" s="7"/>
      <c r="I52" s="7"/>
      <c r="J52" s="8"/>
    </row>
    <row r="53" spans="1:10" x14ac:dyDescent="0.3">
      <c r="A53" s="9" t="s">
        <v>61</v>
      </c>
      <c r="B53" s="10"/>
      <c r="C53" s="10"/>
      <c r="D53" s="10"/>
      <c r="E53" s="10"/>
      <c r="F53" s="10"/>
      <c r="G53" s="10"/>
      <c r="H53" s="10"/>
      <c r="I53" s="10"/>
      <c r="J53" s="11"/>
    </row>
    <row r="54" spans="1:10" x14ac:dyDescent="0.3">
      <c r="A54" s="6" t="s">
        <v>62</v>
      </c>
      <c r="B54" s="7"/>
      <c r="C54" s="7"/>
      <c r="D54" s="7"/>
      <c r="E54" s="7"/>
      <c r="F54" s="7"/>
      <c r="G54" s="7"/>
      <c r="H54" s="7"/>
      <c r="I54" s="7"/>
      <c r="J54" s="8"/>
    </row>
    <row r="55" spans="1:10" x14ac:dyDescent="0.3">
      <c r="A55" s="30" t="s">
        <v>63</v>
      </c>
      <c r="B55" s="31">
        <f>SUM(B12,B13,B14,B15)</f>
        <v>0</v>
      </c>
      <c r="C55" s="31">
        <f t="shared" ref="C55:J55" si="0">SUM(C12,C13,C14,C15)</f>
        <v>0</v>
      </c>
      <c r="D55" s="31">
        <f t="shared" si="0"/>
        <v>0</v>
      </c>
      <c r="E55" s="31">
        <f t="shared" si="0"/>
        <v>0</v>
      </c>
      <c r="F55" s="31">
        <f t="shared" si="0"/>
        <v>0</v>
      </c>
      <c r="G55" s="31">
        <f t="shared" si="0"/>
        <v>0</v>
      </c>
      <c r="H55" s="31">
        <f t="shared" si="0"/>
        <v>0</v>
      </c>
      <c r="I55" s="31">
        <f t="shared" si="0"/>
        <v>0</v>
      </c>
      <c r="J55" s="32">
        <f t="shared" si="0"/>
        <v>0</v>
      </c>
    </row>
    <row r="56" spans="1:10" x14ac:dyDescent="0.3">
      <c r="A56" s="27" t="s">
        <v>64</v>
      </c>
      <c r="B56" s="28">
        <f>SUM(B40,B41,B42,B43)</f>
        <v>0</v>
      </c>
      <c r="C56" s="28">
        <f t="shared" ref="C56:J56" si="1">SUM(C40,C41,C42,C43)</f>
        <v>0</v>
      </c>
      <c r="D56" s="28">
        <f t="shared" si="1"/>
        <v>0</v>
      </c>
      <c r="E56" s="28">
        <f t="shared" si="1"/>
        <v>0</v>
      </c>
      <c r="F56" s="28">
        <f t="shared" si="1"/>
        <v>0</v>
      </c>
      <c r="G56" s="28">
        <f t="shared" si="1"/>
        <v>0</v>
      </c>
      <c r="H56" s="28">
        <f t="shared" si="1"/>
        <v>0</v>
      </c>
      <c r="I56" s="28">
        <f t="shared" si="1"/>
        <v>0</v>
      </c>
      <c r="J56" s="29">
        <f t="shared" si="1"/>
        <v>0</v>
      </c>
    </row>
    <row r="57" spans="1:10" x14ac:dyDescent="0.3">
      <c r="A57" s="24" t="s">
        <v>65</v>
      </c>
      <c r="B57" s="25">
        <f>SUM(B2:B54)</f>
        <v>0</v>
      </c>
      <c r="C57" s="25">
        <f t="shared" ref="C57:J57" si="2">SUM(C2:C54)</f>
        <v>0</v>
      </c>
      <c r="D57" s="25">
        <f t="shared" si="2"/>
        <v>0</v>
      </c>
      <c r="E57" s="25">
        <f t="shared" si="2"/>
        <v>0</v>
      </c>
      <c r="F57" s="25">
        <f t="shared" si="2"/>
        <v>0</v>
      </c>
      <c r="G57" s="25">
        <f t="shared" si="2"/>
        <v>0</v>
      </c>
      <c r="H57" s="25">
        <f t="shared" si="2"/>
        <v>0</v>
      </c>
      <c r="I57" s="25">
        <f t="shared" si="2"/>
        <v>0</v>
      </c>
      <c r="J57" s="26">
        <f t="shared" si="2"/>
        <v>0</v>
      </c>
    </row>
  </sheetData>
  <autoFilter ref="A1:J57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style="1" customWidth="1"/>
    <col min="2" max="10" width="15.6640625" customWidth="1"/>
  </cols>
  <sheetData>
    <row r="1" spans="1:10" ht="60" customHeight="1" x14ac:dyDescent="0.3">
      <c r="A1" s="1" t="s">
        <v>66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>
        <f>SUM(January:December!B2)</f>
        <v>26142</v>
      </c>
      <c r="C2" s="4">
        <f>SUM(January:December!C2)</f>
        <v>11486</v>
      </c>
      <c r="D2" s="4">
        <f>SUM(January:December!D2)</f>
        <v>830</v>
      </c>
      <c r="E2" s="4">
        <f>SUM(January:December!E2)</f>
        <v>91</v>
      </c>
      <c r="F2" s="4">
        <f>SUM(January:December!F2)</f>
        <v>452</v>
      </c>
      <c r="G2" s="4">
        <f>SUM(January:December!G2)</f>
        <v>1373</v>
      </c>
      <c r="H2" s="4">
        <f>SUM(January:December!H2)</f>
        <v>38</v>
      </c>
      <c r="I2" s="4">
        <f>SUM(January:December!I2)</f>
        <v>3836</v>
      </c>
      <c r="J2" s="5">
        <f>SUM(January:December!J2)</f>
        <v>22306</v>
      </c>
    </row>
    <row r="3" spans="1:10" x14ac:dyDescent="0.3">
      <c r="A3" s="6" t="s">
        <v>11</v>
      </c>
      <c r="B3" s="7">
        <f>SUM(January:December!B3)</f>
        <v>10846</v>
      </c>
      <c r="C3" s="7">
        <f>SUM(January:December!C3)</f>
        <v>4702</v>
      </c>
      <c r="D3" s="7">
        <f>SUM(January:December!D3)</f>
        <v>392</v>
      </c>
      <c r="E3" s="7">
        <f>SUM(January:December!E3)</f>
        <v>46</v>
      </c>
      <c r="F3" s="7">
        <f>SUM(January:December!F3)</f>
        <v>211</v>
      </c>
      <c r="G3" s="7">
        <f>SUM(January:December!G3)</f>
        <v>649</v>
      </c>
      <c r="H3" s="7">
        <f>SUM(January:December!H3)</f>
        <v>20</v>
      </c>
      <c r="I3" s="7">
        <f>SUM(January:December!I3)</f>
        <v>1700</v>
      </c>
      <c r="J3" s="8">
        <f>SUM(January:December!J3)</f>
        <v>9146</v>
      </c>
    </row>
    <row r="4" spans="1:10" x14ac:dyDescent="0.3">
      <c r="A4" s="9" t="s">
        <v>12</v>
      </c>
      <c r="B4" s="10">
        <f>SUM(January:December!B4)</f>
        <v>23682</v>
      </c>
      <c r="C4" s="10">
        <f>SUM(January:December!C4)</f>
        <v>10278</v>
      </c>
      <c r="D4" s="10">
        <f>SUM(January:December!D4)</f>
        <v>1160</v>
      </c>
      <c r="E4" s="10">
        <f>SUM(January:December!E4)</f>
        <v>143</v>
      </c>
      <c r="F4" s="10">
        <f>SUM(January:December!F4)</f>
        <v>800</v>
      </c>
      <c r="G4" s="10">
        <f>SUM(January:December!G4)</f>
        <v>2103</v>
      </c>
      <c r="H4" s="10">
        <f>SUM(January:December!H4)</f>
        <v>9</v>
      </c>
      <c r="I4" s="10">
        <f>SUM(January:December!I4)</f>
        <v>3898</v>
      </c>
      <c r="J4" s="11">
        <f>SUM(January:December!J4)</f>
        <v>19784</v>
      </c>
    </row>
    <row r="5" spans="1:10" x14ac:dyDescent="0.3">
      <c r="A5" s="6" t="s">
        <v>13</v>
      </c>
      <c r="B5" s="7">
        <f>SUM(January:December!B5)</f>
        <v>275</v>
      </c>
      <c r="C5" s="7">
        <f>SUM(January:December!C5)</f>
        <v>109</v>
      </c>
      <c r="D5" s="7">
        <f>SUM(January:December!D5)</f>
        <v>16</v>
      </c>
      <c r="E5" s="7">
        <f>SUM(January:December!E5)</f>
        <v>0</v>
      </c>
      <c r="F5" s="7">
        <f>SUM(January:December!F5)</f>
        <v>7</v>
      </c>
      <c r="G5" s="7">
        <f>SUM(January:December!G5)</f>
        <v>23</v>
      </c>
      <c r="H5" s="7">
        <f>SUM(January:December!H5)</f>
        <v>0</v>
      </c>
      <c r="I5" s="7">
        <f>SUM(January:December!I5)</f>
        <v>158</v>
      </c>
      <c r="J5" s="8">
        <f>SUM(January:December!J5)</f>
        <v>117</v>
      </c>
    </row>
    <row r="6" spans="1:10" x14ac:dyDescent="0.3">
      <c r="A6" s="9" t="s">
        <v>14</v>
      </c>
      <c r="B6" s="10">
        <f>SUM(January:December!B6)</f>
        <v>24590</v>
      </c>
      <c r="C6" s="10">
        <f>SUM(January:December!C6)</f>
        <v>9810</v>
      </c>
      <c r="D6" s="10">
        <f>SUM(January:December!D6)</f>
        <v>2373</v>
      </c>
      <c r="E6" s="10">
        <f>SUM(January:December!E6)</f>
        <v>49</v>
      </c>
      <c r="F6" s="10">
        <f>SUM(January:December!F6)</f>
        <v>654</v>
      </c>
      <c r="G6" s="10">
        <f>SUM(January:December!G6)</f>
        <v>3076</v>
      </c>
      <c r="H6" s="10">
        <f>SUM(January:December!H6)</f>
        <v>145</v>
      </c>
      <c r="I6" s="10">
        <f>SUM(January:December!I6)</f>
        <v>7268</v>
      </c>
      <c r="J6" s="11">
        <f>SUM(January:December!J6)</f>
        <v>17322</v>
      </c>
    </row>
    <row r="7" spans="1:10" x14ac:dyDescent="0.3">
      <c r="A7" s="6" t="s">
        <v>15</v>
      </c>
      <c r="B7" s="7">
        <f>SUM(January:December!B7)</f>
        <v>3730</v>
      </c>
      <c r="C7" s="7">
        <f>SUM(January:December!C7)</f>
        <v>1644</v>
      </c>
      <c r="D7" s="7">
        <f>SUM(January:December!D7)</f>
        <v>20</v>
      </c>
      <c r="E7" s="7">
        <f>SUM(January:December!E7)</f>
        <v>2</v>
      </c>
      <c r="F7" s="7">
        <f>SUM(January:December!F7)</f>
        <v>222</v>
      </c>
      <c r="G7" s="7">
        <f>SUM(January:December!G7)</f>
        <v>244</v>
      </c>
      <c r="H7" s="7">
        <f>SUM(January:December!H7)</f>
        <v>187</v>
      </c>
      <c r="I7" s="7">
        <f>SUM(January:December!I7)</f>
        <v>1228</v>
      </c>
      <c r="J7" s="8">
        <f>SUM(January:December!J7)</f>
        <v>2502</v>
      </c>
    </row>
    <row r="8" spans="1:10" x14ac:dyDescent="0.3">
      <c r="A8" s="9" t="s">
        <v>16</v>
      </c>
      <c r="B8" s="10">
        <f>SUM(January:December!B8)</f>
        <v>2096</v>
      </c>
      <c r="C8" s="10">
        <f>SUM(January:December!C8)</f>
        <v>941</v>
      </c>
      <c r="D8" s="10">
        <f>SUM(January:December!D8)</f>
        <v>57</v>
      </c>
      <c r="E8" s="10">
        <f>SUM(January:December!E8)</f>
        <v>7</v>
      </c>
      <c r="F8" s="10">
        <f>SUM(January:December!F8)</f>
        <v>46</v>
      </c>
      <c r="G8" s="10">
        <f>SUM(January:December!G8)</f>
        <v>110</v>
      </c>
      <c r="H8" s="10">
        <f>SUM(January:December!H8)</f>
        <v>3</v>
      </c>
      <c r="I8" s="10">
        <f>SUM(January:December!I8)</f>
        <v>560</v>
      </c>
      <c r="J8" s="11">
        <f>SUM(January:December!J8)</f>
        <v>1536</v>
      </c>
    </row>
    <row r="9" spans="1:10" x14ac:dyDescent="0.3">
      <c r="A9" s="6" t="s">
        <v>17</v>
      </c>
      <c r="B9" s="7">
        <f>SUM(January:December!B9)</f>
        <v>904</v>
      </c>
      <c r="C9" s="7">
        <f>SUM(January:December!C9)</f>
        <v>443</v>
      </c>
      <c r="D9" s="7">
        <f>SUM(January:December!D9)</f>
        <v>2</v>
      </c>
      <c r="E9" s="7">
        <f>SUM(January:December!E9)</f>
        <v>0</v>
      </c>
      <c r="F9" s="7">
        <f>SUM(January:December!F9)</f>
        <v>12</v>
      </c>
      <c r="G9" s="7">
        <f>SUM(January:December!G9)</f>
        <v>14</v>
      </c>
      <c r="H9" s="7">
        <f>SUM(January:December!H9)</f>
        <v>0</v>
      </c>
      <c r="I9" s="7">
        <f>SUM(January:December!I9)</f>
        <v>218</v>
      </c>
      <c r="J9" s="8">
        <f>SUM(January:December!J9)</f>
        <v>686</v>
      </c>
    </row>
    <row r="10" spans="1:10" x14ac:dyDescent="0.3">
      <c r="A10" s="9" t="s">
        <v>18</v>
      </c>
      <c r="B10" s="10">
        <f>SUM(January:December!B10)</f>
        <v>5</v>
      </c>
      <c r="C10" s="10">
        <f>SUM(January:December!C10)</f>
        <v>4</v>
      </c>
      <c r="D10" s="10">
        <f>SUM(January:December!D10)</f>
        <v>0</v>
      </c>
      <c r="E10" s="10">
        <f>SUM(January:December!E10)</f>
        <v>0</v>
      </c>
      <c r="F10" s="10">
        <f>SUM(January:December!F10)</f>
        <v>0</v>
      </c>
      <c r="G10" s="10">
        <f>SUM(January:December!G10)</f>
        <v>0</v>
      </c>
      <c r="H10" s="10">
        <f>SUM(January:December!H10)</f>
        <v>0</v>
      </c>
      <c r="I10" s="10">
        <f>SUM(January:December!I10)</f>
        <v>4</v>
      </c>
      <c r="J10" s="11">
        <f>SUM(January:December!J10)</f>
        <v>1</v>
      </c>
    </row>
    <row r="11" spans="1:10" x14ac:dyDescent="0.3">
      <c r="A11" s="6" t="s">
        <v>19</v>
      </c>
      <c r="B11" s="7">
        <f>SUM(January:December!B11)</f>
        <v>0</v>
      </c>
      <c r="C11" s="7">
        <f>SUM(January:December!C11)</f>
        <v>0</v>
      </c>
      <c r="D11" s="7">
        <f>SUM(January:December!D11)</f>
        <v>1</v>
      </c>
      <c r="E11" s="7">
        <f>SUM(January:December!E11)</f>
        <v>0</v>
      </c>
      <c r="F11" s="7">
        <f>SUM(January:December!F11)</f>
        <v>0</v>
      </c>
      <c r="G11" s="7">
        <f>SUM(January:December!G11)</f>
        <v>1</v>
      </c>
      <c r="H11" s="7">
        <f>SUM(January:December!H11)</f>
        <v>0</v>
      </c>
      <c r="I11" s="7">
        <f>SUM(January:December!I11)</f>
        <v>0</v>
      </c>
      <c r="J11" s="8">
        <f>SUM(January:December!J11)</f>
        <v>0</v>
      </c>
    </row>
    <row r="12" spans="1:10" x14ac:dyDescent="0.3">
      <c r="A12" s="12" t="s">
        <v>20</v>
      </c>
      <c r="B12" s="13">
        <f>SUM(January:December!B12)</f>
        <v>67</v>
      </c>
      <c r="C12" s="13">
        <f>SUM(January:December!C12)</f>
        <v>52</v>
      </c>
      <c r="D12" s="13">
        <f>SUM(January:December!D12)</f>
        <v>6</v>
      </c>
      <c r="E12" s="13">
        <f>SUM(January:December!E12)</f>
        <v>0</v>
      </c>
      <c r="F12" s="13">
        <f>SUM(January:December!F12)</f>
        <v>1</v>
      </c>
      <c r="G12" s="13">
        <f>SUM(January:December!G12)</f>
        <v>7</v>
      </c>
      <c r="H12" s="13">
        <f>SUM(January:December!H12)</f>
        <v>0</v>
      </c>
      <c r="I12" s="13">
        <f>SUM(January:December!I12)</f>
        <v>45</v>
      </c>
      <c r="J12" s="14">
        <f>SUM(January:December!J12)</f>
        <v>22</v>
      </c>
    </row>
    <row r="13" spans="1:10" x14ac:dyDescent="0.3">
      <c r="A13" s="15" t="s">
        <v>21</v>
      </c>
      <c r="B13" s="16">
        <f>SUM(January:December!B13)</f>
        <v>976</v>
      </c>
      <c r="C13" s="16">
        <f>SUM(January:December!C13)</f>
        <v>436</v>
      </c>
      <c r="D13" s="16">
        <f>SUM(January:December!D13)</f>
        <v>32</v>
      </c>
      <c r="E13" s="16">
        <f>SUM(January:December!E13)</f>
        <v>4</v>
      </c>
      <c r="F13" s="16">
        <f>SUM(January:December!F13)</f>
        <v>15</v>
      </c>
      <c r="G13" s="16">
        <f>SUM(January:December!G13)</f>
        <v>51</v>
      </c>
      <c r="H13" s="16">
        <f>SUM(January:December!H13)</f>
        <v>0</v>
      </c>
      <c r="I13" s="16">
        <f>SUM(January:December!I13)</f>
        <v>436</v>
      </c>
      <c r="J13" s="17">
        <f>SUM(January:December!J13)</f>
        <v>540</v>
      </c>
    </row>
    <row r="14" spans="1:10" x14ac:dyDescent="0.3">
      <c r="A14" s="12" t="s">
        <v>22</v>
      </c>
      <c r="B14" s="13">
        <f>SUM(January:December!B14)</f>
        <v>3454</v>
      </c>
      <c r="C14" s="13">
        <f>SUM(January:December!C14)</f>
        <v>1584</v>
      </c>
      <c r="D14" s="13">
        <f>SUM(January:December!D14)</f>
        <v>80</v>
      </c>
      <c r="E14" s="13">
        <f>SUM(January:December!E14)</f>
        <v>14</v>
      </c>
      <c r="F14" s="13">
        <f>SUM(January:December!F14)</f>
        <v>113</v>
      </c>
      <c r="G14" s="13">
        <f>SUM(January:December!G14)</f>
        <v>207</v>
      </c>
      <c r="H14" s="13">
        <f>SUM(January:December!H14)</f>
        <v>9</v>
      </c>
      <c r="I14" s="13">
        <f>SUM(January:December!I14)</f>
        <v>1642</v>
      </c>
      <c r="J14" s="14">
        <f>SUM(January:December!J14)</f>
        <v>1812</v>
      </c>
    </row>
    <row r="15" spans="1:10" x14ac:dyDescent="0.3">
      <c r="A15" s="15" t="s">
        <v>23</v>
      </c>
      <c r="B15" s="16">
        <f>SUM(January:December!B15)</f>
        <v>1118</v>
      </c>
      <c r="C15" s="16">
        <f>SUM(January:December!C15)</f>
        <v>530</v>
      </c>
      <c r="D15" s="16">
        <f>SUM(January:December!D15)</f>
        <v>45</v>
      </c>
      <c r="E15" s="16">
        <f>SUM(January:December!E15)</f>
        <v>14</v>
      </c>
      <c r="F15" s="16">
        <f>SUM(January:December!F15)</f>
        <v>50</v>
      </c>
      <c r="G15" s="16">
        <f>SUM(January:December!G15)</f>
        <v>109</v>
      </c>
      <c r="H15" s="16">
        <f>SUM(January:December!H15)</f>
        <v>2</v>
      </c>
      <c r="I15" s="16">
        <f>SUM(January:December!I15)</f>
        <v>484</v>
      </c>
      <c r="J15" s="17">
        <f>SUM(January:December!J15)</f>
        <v>634</v>
      </c>
    </row>
    <row r="16" spans="1:10" x14ac:dyDescent="0.3">
      <c r="A16" s="9" t="s">
        <v>24</v>
      </c>
      <c r="B16" s="10">
        <f>SUM(January:December!B16)</f>
        <v>1136</v>
      </c>
      <c r="C16" s="10">
        <f>SUM(January:December!C16)</f>
        <v>535</v>
      </c>
      <c r="D16" s="10">
        <f>SUM(January:December!D16)</f>
        <v>7</v>
      </c>
      <c r="E16" s="10">
        <f>SUM(January:December!E16)</f>
        <v>4</v>
      </c>
      <c r="F16" s="10">
        <f>SUM(January:December!F16)</f>
        <v>16</v>
      </c>
      <c r="G16" s="10">
        <f>SUM(January:December!G16)</f>
        <v>27</v>
      </c>
      <c r="H16" s="10">
        <f>SUM(January:December!H16)</f>
        <v>0</v>
      </c>
      <c r="I16" s="10">
        <f>SUM(January:December!I16)</f>
        <v>554</v>
      </c>
      <c r="J16" s="11">
        <f>SUM(January:December!J16)</f>
        <v>582</v>
      </c>
    </row>
    <row r="17" spans="1:10" x14ac:dyDescent="0.3">
      <c r="A17" s="6" t="s">
        <v>25</v>
      </c>
      <c r="B17" s="7">
        <f>SUM(January:December!B17)</f>
        <v>11084</v>
      </c>
      <c r="C17" s="7">
        <f>SUM(January:December!C17)</f>
        <v>4682</v>
      </c>
      <c r="D17" s="7">
        <f>SUM(January:December!D17)</f>
        <v>549</v>
      </c>
      <c r="E17" s="7">
        <f>SUM(January:December!E17)</f>
        <v>57</v>
      </c>
      <c r="F17" s="7">
        <f>SUM(January:December!F17)</f>
        <v>248</v>
      </c>
      <c r="G17" s="7">
        <f>SUM(January:December!G17)</f>
        <v>854</v>
      </c>
      <c r="H17" s="7">
        <f>SUM(January:December!H17)</f>
        <v>2</v>
      </c>
      <c r="I17" s="7">
        <f>SUM(January:December!I17)</f>
        <v>3302</v>
      </c>
      <c r="J17" s="8">
        <f>SUM(January:December!J17)</f>
        <v>7782</v>
      </c>
    </row>
    <row r="18" spans="1:10" x14ac:dyDescent="0.3">
      <c r="A18" s="9" t="s">
        <v>26</v>
      </c>
      <c r="B18" s="10">
        <f>SUM(January:December!B18)</f>
        <v>776</v>
      </c>
      <c r="C18" s="10">
        <f>SUM(January:December!C18)</f>
        <v>414</v>
      </c>
      <c r="D18" s="10">
        <f>SUM(January:December!D18)</f>
        <v>13</v>
      </c>
      <c r="E18" s="10">
        <f>SUM(January:December!E18)</f>
        <v>2</v>
      </c>
      <c r="F18" s="10">
        <f>SUM(January:December!F18)</f>
        <v>18</v>
      </c>
      <c r="G18" s="10">
        <f>SUM(January:December!G18)</f>
        <v>33</v>
      </c>
      <c r="H18" s="10">
        <f>SUM(January:December!H18)</f>
        <v>2</v>
      </c>
      <c r="I18" s="10">
        <f>SUM(January:December!I18)</f>
        <v>214</v>
      </c>
      <c r="J18" s="11">
        <f>SUM(January:December!J18)</f>
        <v>562</v>
      </c>
    </row>
    <row r="19" spans="1:10" x14ac:dyDescent="0.3">
      <c r="A19" s="6" t="s">
        <v>27</v>
      </c>
      <c r="B19" s="7">
        <f>SUM(January:December!B19)</f>
        <v>8038</v>
      </c>
      <c r="C19" s="7">
        <f>SUM(January:December!C19)</f>
        <v>3451</v>
      </c>
      <c r="D19" s="7">
        <f>SUM(January:December!D19)</f>
        <v>303</v>
      </c>
      <c r="E19" s="7">
        <f>SUM(January:December!E19)</f>
        <v>17</v>
      </c>
      <c r="F19" s="7">
        <f>SUM(January:December!F19)</f>
        <v>151</v>
      </c>
      <c r="G19" s="7">
        <f>SUM(January:December!G19)</f>
        <v>471</v>
      </c>
      <c r="H19" s="7">
        <f>SUM(January:December!H19)</f>
        <v>8</v>
      </c>
      <c r="I19" s="7">
        <f>SUM(January:December!I19)</f>
        <v>2312</v>
      </c>
      <c r="J19" s="8">
        <f>SUM(January:December!J19)</f>
        <v>5726</v>
      </c>
    </row>
    <row r="20" spans="1:10" x14ac:dyDescent="0.3">
      <c r="A20" s="9" t="s">
        <v>28</v>
      </c>
      <c r="B20" s="10">
        <f>SUM(January:December!B20)</f>
        <v>35</v>
      </c>
      <c r="C20" s="10">
        <f>SUM(January:December!C20)</f>
        <v>22</v>
      </c>
      <c r="D20" s="10">
        <f>SUM(January:December!D20)</f>
        <v>2</v>
      </c>
      <c r="E20" s="10">
        <f>SUM(January:December!E20)</f>
        <v>0</v>
      </c>
      <c r="F20" s="10">
        <f>SUM(January:December!F20)</f>
        <v>6</v>
      </c>
      <c r="G20" s="10">
        <f>SUM(January:December!G20)</f>
        <v>8</v>
      </c>
      <c r="H20" s="10">
        <f>SUM(January:December!H20)</f>
        <v>0</v>
      </c>
      <c r="I20" s="10">
        <f>SUM(January:December!I20)</f>
        <v>21</v>
      </c>
      <c r="J20" s="11">
        <f>SUM(January:December!J20)</f>
        <v>14</v>
      </c>
    </row>
    <row r="21" spans="1:10" x14ac:dyDescent="0.3">
      <c r="A21" s="6" t="s">
        <v>29</v>
      </c>
      <c r="B21" s="7">
        <f>SUM(January:December!B21)</f>
        <v>8307</v>
      </c>
      <c r="C21" s="7">
        <f>SUM(January:December!C21)</f>
        <v>4010</v>
      </c>
      <c r="D21" s="7">
        <f>SUM(January:December!D21)</f>
        <v>209</v>
      </c>
      <c r="E21" s="7">
        <f>SUM(January:December!E21)</f>
        <v>22</v>
      </c>
      <c r="F21" s="7">
        <f>SUM(January:December!F21)</f>
        <v>180</v>
      </c>
      <c r="G21" s="7">
        <f>SUM(January:December!G21)</f>
        <v>411</v>
      </c>
      <c r="H21" s="7">
        <f>SUM(January:December!H21)</f>
        <v>12</v>
      </c>
      <c r="I21" s="7">
        <f>SUM(January:December!I21)</f>
        <v>1962</v>
      </c>
      <c r="J21" s="8">
        <f>SUM(January:December!J21)</f>
        <v>6345</v>
      </c>
    </row>
    <row r="22" spans="1:10" x14ac:dyDescent="0.3">
      <c r="A22" s="9" t="s">
        <v>30</v>
      </c>
      <c r="B22" s="10">
        <f>SUM(January:December!B22)</f>
        <v>1202</v>
      </c>
      <c r="C22" s="10">
        <f>SUM(January:December!C22)</f>
        <v>566</v>
      </c>
      <c r="D22" s="10">
        <f>SUM(January:December!D22)</f>
        <v>26</v>
      </c>
      <c r="E22" s="10">
        <f>SUM(January:December!E22)</f>
        <v>1</v>
      </c>
      <c r="F22" s="10">
        <f>SUM(January:December!F22)</f>
        <v>46</v>
      </c>
      <c r="G22" s="10">
        <f>SUM(January:December!G22)</f>
        <v>73</v>
      </c>
      <c r="H22" s="10">
        <f>SUM(January:December!H22)</f>
        <v>0</v>
      </c>
      <c r="I22" s="10">
        <f>SUM(January:December!I22)</f>
        <v>406</v>
      </c>
      <c r="J22" s="11">
        <f>SUM(January:December!J22)</f>
        <v>796</v>
      </c>
    </row>
    <row r="23" spans="1:10" x14ac:dyDescent="0.3">
      <c r="A23" s="6" t="s">
        <v>31</v>
      </c>
      <c r="B23" s="7">
        <f>SUM(January:December!B23)</f>
        <v>12076</v>
      </c>
      <c r="C23" s="7">
        <f>SUM(January:December!C23)</f>
        <v>4089</v>
      </c>
      <c r="D23" s="7">
        <f>SUM(January:December!D23)</f>
        <v>1387</v>
      </c>
      <c r="E23" s="7">
        <f>SUM(January:December!E23)</f>
        <v>109</v>
      </c>
      <c r="F23" s="7">
        <f>SUM(January:December!F23)</f>
        <v>339</v>
      </c>
      <c r="G23" s="7">
        <f>SUM(January:December!G23)</f>
        <v>1835</v>
      </c>
      <c r="H23" s="7">
        <f>SUM(January:December!H23)</f>
        <v>24</v>
      </c>
      <c r="I23" s="7">
        <f>SUM(January:December!I23)</f>
        <v>2448</v>
      </c>
      <c r="J23" s="8">
        <f>SUM(January:December!J23)</f>
        <v>9628</v>
      </c>
    </row>
    <row r="24" spans="1:10" x14ac:dyDescent="0.3">
      <c r="A24" s="9" t="s">
        <v>32</v>
      </c>
      <c r="B24" s="10">
        <f>SUM(January:December!B24)</f>
        <v>36466</v>
      </c>
      <c r="C24" s="10">
        <f>SUM(January:December!C24)</f>
        <v>15032</v>
      </c>
      <c r="D24" s="10">
        <f>SUM(January:December!D24)</f>
        <v>1885</v>
      </c>
      <c r="E24" s="10">
        <f>SUM(January:December!E24)</f>
        <v>239</v>
      </c>
      <c r="F24" s="10">
        <f>SUM(January:December!F24)</f>
        <v>854</v>
      </c>
      <c r="G24" s="10">
        <f>SUM(January:December!G24)</f>
        <v>2978</v>
      </c>
      <c r="H24" s="10">
        <f>SUM(January:December!H24)</f>
        <v>25</v>
      </c>
      <c r="I24" s="10">
        <f>SUM(January:December!I24)</f>
        <v>4852</v>
      </c>
      <c r="J24" s="11">
        <f>SUM(January:December!J24)</f>
        <v>31614</v>
      </c>
    </row>
    <row r="25" spans="1:10" x14ac:dyDescent="0.3">
      <c r="A25" s="6" t="s">
        <v>33</v>
      </c>
      <c r="B25" s="7">
        <f>SUM(January:December!B25)</f>
        <v>2502</v>
      </c>
      <c r="C25" s="7">
        <f>SUM(January:December!C25)</f>
        <v>1037</v>
      </c>
      <c r="D25" s="7">
        <f>SUM(January:December!D25)</f>
        <v>86</v>
      </c>
      <c r="E25" s="7">
        <f>SUM(January:December!E25)</f>
        <v>12</v>
      </c>
      <c r="F25" s="7">
        <f>SUM(January:December!F25)</f>
        <v>62</v>
      </c>
      <c r="G25" s="7">
        <f>SUM(January:December!G25)</f>
        <v>160</v>
      </c>
      <c r="H25" s="7">
        <f>SUM(January:December!H25)</f>
        <v>2</v>
      </c>
      <c r="I25" s="7">
        <f>SUM(January:December!I25)</f>
        <v>758</v>
      </c>
      <c r="J25" s="8">
        <f>SUM(January:December!J25)</f>
        <v>1744</v>
      </c>
    </row>
    <row r="26" spans="1:10" x14ac:dyDescent="0.3">
      <c r="A26" s="9" t="s">
        <v>34</v>
      </c>
      <c r="B26" s="10">
        <f>SUM(January:December!B26)</f>
        <v>0</v>
      </c>
      <c r="C26" s="10">
        <f>SUM(January:December!C26)</f>
        <v>0</v>
      </c>
      <c r="D26" s="10">
        <f>SUM(January:December!D26)</f>
        <v>0</v>
      </c>
      <c r="E26" s="10">
        <f>SUM(January:December!E26)</f>
        <v>0</v>
      </c>
      <c r="F26" s="10">
        <f>SUM(January:December!F26)</f>
        <v>0</v>
      </c>
      <c r="G26" s="10">
        <f>SUM(January:December!G26)</f>
        <v>0</v>
      </c>
      <c r="H26" s="10">
        <f>SUM(January:December!H26)</f>
        <v>0</v>
      </c>
      <c r="I26" s="10">
        <f>SUM(January:December!I26)</f>
        <v>0</v>
      </c>
      <c r="J26" s="11">
        <f>SUM(January:December!J26)</f>
        <v>0</v>
      </c>
    </row>
    <row r="27" spans="1:10" x14ac:dyDescent="0.3">
      <c r="A27" s="6" t="s">
        <v>35</v>
      </c>
      <c r="B27" s="7">
        <f>SUM(January:December!B27)</f>
        <v>2702</v>
      </c>
      <c r="C27" s="7">
        <f>SUM(January:December!C27)</f>
        <v>1344</v>
      </c>
      <c r="D27" s="7">
        <f>SUM(January:December!D27)</f>
        <v>30</v>
      </c>
      <c r="E27" s="7">
        <f>SUM(January:December!E27)</f>
        <v>10</v>
      </c>
      <c r="F27" s="7">
        <f>SUM(January:December!F27)</f>
        <v>58</v>
      </c>
      <c r="G27" s="7">
        <f>SUM(January:December!G27)</f>
        <v>98</v>
      </c>
      <c r="H27" s="7">
        <f>SUM(January:December!H27)</f>
        <v>10</v>
      </c>
      <c r="I27" s="7">
        <f>SUM(January:December!I27)</f>
        <v>868</v>
      </c>
      <c r="J27" s="8">
        <f>SUM(January:December!J27)</f>
        <v>1834</v>
      </c>
    </row>
    <row r="28" spans="1:10" x14ac:dyDescent="0.3">
      <c r="A28" s="9" t="s">
        <v>36</v>
      </c>
      <c r="B28" s="10">
        <f>SUM(January:December!B28)</f>
        <v>2553</v>
      </c>
      <c r="C28" s="10">
        <f>SUM(January:December!C28)</f>
        <v>1117</v>
      </c>
      <c r="D28" s="10">
        <f>SUM(January:December!D28)</f>
        <v>158</v>
      </c>
      <c r="E28" s="10">
        <f>SUM(January:December!E28)</f>
        <v>7</v>
      </c>
      <c r="F28" s="10">
        <f>SUM(January:December!F28)</f>
        <v>46</v>
      </c>
      <c r="G28" s="10">
        <f>SUM(January:December!G28)</f>
        <v>211</v>
      </c>
      <c r="H28" s="10">
        <f>SUM(January:December!H28)</f>
        <v>0</v>
      </c>
      <c r="I28" s="10">
        <f>SUM(January:December!I28)</f>
        <v>772</v>
      </c>
      <c r="J28" s="11">
        <f>SUM(January:December!J28)</f>
        <v>1781</v>
      </c>
    </row>
    <row r="29" spans="1:10" x14ac:dyDescent="0.3">
      <c r="A29" s="6" t="s">
        <v>37</v>
      </c>
      <c r="B29" s="7">
        <f>SUM(January:December!B29)</f>
        <v>11718</v>
      </c>
      <c r="C29" s="7">
        <f>SUM(January:December!C29)</f>
        <v>5464</v>
      </c>
      <c r="D29" s="7">
        <f>SUM(January:December!D29)</f>
        <v>87</v>
      </c>
      <c r="E29" s="7">
        <f>SUM(January:December!E29)</f>
        <v>34</v>
      </c>
      <c r="F29" s="7">
        <f>SUM(January:December!F29)</f>
        <v>238</v>
      </c>
      <c r="G29" s="7">
        <f>SUM(January:December!G29)</f>
        <v>359</v>
      </c>
      <c r="H29" s="7">
        <f>SUM(January:December!H29)</f>
        <v>2</v>
      </c>
      <c r="I29" s="7">
        <f>SUM(January:December!I29)</f>
        <v>2828</v>
      </c>
      <c r="J29" s="8">
        <f>SUM(January:December!J29)</f>
        <v>8890</v>
      </c>
    </row>
    <row r="30" spans="1:10" x14ac:dyDescent="0.3">
      <c r="A30" s="9" t="s">
        <v>38</v>
      </c>
      <c r="B30" s="10">
        <f>SUM(January:December!B30)</f>
        <v>506</v>
      </c>
      <c r="C30" s="10">
        <f>SUM(January:December!C30)</f>
        <v>230</v>
      </c>
      <c r="D30" s="10">
        <f>SUM(January:December!D30)</f>
        <v>6</v>
      </c>
      <c r="E30" s="10">
        <f>SUM(January:December!E30)</f>
        <v>1</v>
      </c>
      <c r="F30" s="10">
        <f>SUM(January:December!F30)</f>
        <v>27</v>
      </c>
      <c r="G30" s="10">
        <f>SUM(January:December!G30)</f>
        <v>34</v>
      </c>
      <c r="H30" s="10">
        <f>SUM(January:December!H30)</f>
        <v>4</v>
      </c>
      <c r="I30" s="10">
        <f>SUM(January:December!I30)</f>
        <v>246</v>
      </c>
      <c r="J30" s="11">
        <f>SUM(January:December!J30)</f>
        <v>260</v>
      </c>
    </row>
    <row r="31" spans="1:10" x14ac:dyDescent="0.3">
      <c r="A31" s="6" t="s">
        <v>39</v>
      </c>
      <c r="B31" s="7">
        <f>SUM(January:December!B31)</f>
        <v>1234</v>
      </c>
      <c r="C31" s="7">
        <f>SUM(January:December!C31)</f>
        <v>584</v>
      </c>
      <c r="D31" s="7">
        <f>SUM(January:December!D31)</f>
        <v>88</v>
      </c>
      <c r="E31" s="7">
        <f>SUM(January:December!E31)</f>
        <v>5</v>
      </c>
      <c r="F31" s="7">
        <f>SUM(January:December!F31)</f>
        <v>32</v>
      </c>
      <c r="G31" s="7">
        <f>SUM(January:December!G31)</f>
        <v>125</v>
      </c>
      <c r="H31" s="7">
        <f>SUM(January:December!H31)</f>
        <v>21</v>
      </c>
      <c r="I31" s="7">
        <f>SUM(January:December!I31)</f>
        <v>158</v>
      </c>
      <c r="J31" s="8">
        <f>SUM(January:December!J31)</f>
        <v>1076</v>
      </c>
    </row>
    <row r="32" spans="1:10" x14ac:dyDescent="0.3">
      <c r="A32" s="9" t="s">
        <v>40</v>
      </c>
      <c r="B32" s="10">
        <f>SUM(January:December!B32)</f>
        <v>9572</v>
      </c>
      <c r="C32" s="10">
        <f>SUM(January:December!C32)</f>
        <v>3493</v>
      </c>
      <c r="D32" s="10">
        <f>SUM(January:December!D32)</f>
        <v>733</v>
      </c>
      <c r="E32" s="10">
        <f>SUM(January:December!E32)</f>
        <v>25</v>
      </c>
      <c r="F32" s="10">
        <f>SUM(January:December!F32)</f>
        <v>473</v>
      </c>
      <c r="G32" s="10">
        <f>SUM(January:December!G32)</f>
        <v>1231</v>
      </c>
      <c r="H32" s="10">
        <f>SUM(January:December!H32)</f>
        <v>124</v>
      </c>
      <c r="I32" s="10">
        <f>SUM(January:December!I32)</f>
        <v>3670</v>
      </c>
      <c r="J32" s="11">
        <f>SUM(January:December!J32)</f>
        <v>5902</v>
      </c>
    </row>
    <row r="33" spans="1:10" x14ac:dyDescent="0.3">
      <c r="A33" s="6" t="s">
        <v>41</v>
      </c>
      <c r="B33" s="7">
        <f>SUM(January:December!B33)</f>
        <v>7492</v>
      </c>
      <c r="C33" s="7">
        <f>SUM(January:December!C33)</f>
        <v>3142</v>
      </c>
      <c r="D33" s="7">
        <f>SUM(January:December!D33)</f>
        <v>102</v>
      </c>
      <c r="E33" s="7">
        <f>SUM(January:December!E33)</f>
        <v>16</v>
      </c>
      <c r="F33" s="7">
        <f>SUM(January:December!F33)</f>
        <v>439</v>
      </c>
      <c r="G33" s="7">
        <f>SUM(January:December!G33)</f>
        <v>557</v>
      </c>
      <c r="H33" s="7">
        <f>SUM(January:December!H33)</f>
        <v>169</v>
      </c>
      <c r="I33" s="7">
        <f>SUM(January:December!I33)</f>
        <v>3116</v>
      </c>
      <c r="J33" s="8">
        <f>SUM(January:December!J33)</f>
        <v>4376</v>
      </c>
    </row>
    <row r="34" spans="1:10" x14ac:dyDescent="0.3">
      <c r="A34" s="9" t="s">
        <v>42</v>
      </c>
      <c r="B34" s="10">
        <f>SUM(January:December!B34)</f>
        <v>2027</v>
      </c>
      <c r="C34" s="10">
        <f>SUM(January:December!C34)</f>
        <v>925</v>
      </c>
      <c r="D34" s="10">
        <f>SUM(January:December!D34)</f>
        <v>76</v>
      </c>
      <c r="E34" s="10">
        <f>SUM(January:December!E34)</f>
        <v>9</v>
      </c>
      <c r="F34" s="10">
        <f>SUM(January:December!F34)</f>
        <v>44</v>
      </c>
      <c r="G34" s="10">
        <f>SUM(January:December!G34)</f>
        <v>129</v>
      </c>
      <c r="H34" s="10">
        <f>SUM(January:December!H34)</f>
        <v>1</v>
      </c>
      <c r="I34" s="10">
        <f>SUM(January:December!I34)</f>
        <v>754</v>
      </c>
      <c r="J34" s="11">
        <f>SUM(January:December!J34)</f>
        <v>1273</v>
      </c>
    </row>
    <row r="35" spans="1:10" x14ac:dyDescent="0.3">
      <c r="A35" s="6" t="s">
        <v>43</v>
      </c>
      <c r="B35" s="7">
        <f>SUM(January:December!B35)</f>
        <v>25398</v>
      </c>
      <c r="C35" s="7">
        <f>SUM(January:December!C35)</f>
        <v>10206</v>
      </c>
      <c r="D35" s="7">
        <f>SUM(January:December!D35)</f>
        <v>1727</v>
      </c>
      <c r="E35" s="7">
        <f>SUM(January:December!E35)</f>
        <v>85</v>
      </c>
      <c r="F35" s="7">
        <f>SUM(January:December!F35)</f>
        <v>599</v>
      </c>
      <c r="G35" s="7">
        <f>SUM(January:December!G35)</f>
        <v>2411</v>
      </c>
      <c r="H35" s="7">
        <f>SUM(January:December!H35)</f>
        <v>104</v>
      </c>
      <c r="I35" s="7">
        <f>SUM(January:December!I35)</f>
        <v>5256</v>
      </c>
      <c r="J35" s="8">
        <f>SUM(January:December!J35)</f>
        <v>20142</v>
      </c>
    </row>
    <row r="36" spans="1:10" x14ac:dyDescent="0.3">
      <c r="A36" s="9" t="s">
        <v>44</v>
      </c>
      <c r="B36" s="10">
        <f>SUM(January:December!B36)</f>
        <v>2972</v>
      </c>
      <c r="C36" s="10">
        <f>SUM(January:December!C36)</f>
        <v>1323</v>
      </c>
      <c r="D36" s="10">
        <f>SUM(January:December!D36)</f>
        <v>72</v>
      </c>
      <c r="E36" s="10">
        <f>SUM(January:December!E36)</f>
        <v>6</v>
      </c>
      <c r="F36" s="10">
        <f>SUM(January:December!F36)</f>
        <v>82</v>
      </c>
      <c r="G36" s="10">
        <f>SUM(January:December!G36)</f>
        <v>160</v>
      </c>
      <c r="H36" s="10">
        <f>SUM(January:December!H36)</f>
        <v>5</v>
      </c>
      <c r="I36" s="10">
        <f>SUM(January:December!I36)</f>
        <v>994</v>
      </c>
      <c r="J36" s="11">
        <f>SUM(January:December!J36)</f>
        <v>1978</v>
      </c>
    </row>
    <row r="37" spans="1:10" x14ac:dyDescent="0.3">
      <c r="A37" s="6" t="s">
        <v>45</v>
      </c>
      <c r="B37" s="7">
        <f>SUM(January:December!B37)</f>
        <v>10656</v>
      </c>
      <c r="C37" s="7">
        <f>SUM(January:December!C37)</f>
        <v>3891</v>
      </c>
      <c r="D37" s="7">
        <f>SUM(January:December!D37)</f>
        <v>956</v>
      </c>
      <c r="E37" s="7">
        <f>SUM(January:December!E37)</f>
        <v>36</v>
      </c>
      <c r="F37" s="7">
        <f>SUM(January:December!F37)</f>
        <v>306</v>
      </c>
      <c r="G37" s="7">
        <f>SUM(January:December!G37)</f>
        <v>1298</v>
      </c>
      <c r="H37" s="7">
        <f>SUM(January:December!H37)</f>
        <v>38</v>
      </c>
      <c r="I37" s="7">
        <f>SUM(January:December!I37)</f>
        <v>2666</v>
      </c>
      <c r="J37" s="8">
        <f>SUM(January:December!J37)</f>
        <v>7990</v>
      </c>
    </row>
    <row r="38" spans="1:10" x14ac:dyDescent="0.3">
      <c r="A38" s="9" t="s">
        <v>46</v>
      </c>
      <c r="B38" s="10">
        <f>SUM(January:December!B38)</f>
        <v>507</v>
      </c>
      <c r="C38" s="10">
        <f>SUM(January:December!C38)</f>
        <v>328</v>
      </c>
      <c r="D38" s="10">
        <f>SUM(January:December!D38)</f>
        <v>1</v>
      </c>
      <c r="E38" s="10">
        <f>SUM(January:December!E38)</f>
        <v>3</v>
      </c>
      <c r="F38" s="10">
        <f>SUM(January:December!F38)</f>
        <v>8</v>
      </c>
      <c r="G38" s="10">
        <f>SUM(January:December!G38)</f>
        <v>12</v>
      </c>
      <c r="H38" s="10">
        <f>SUM(January:December!H38)</f>
        <v>0</v>
      </c>
      <c r="I38" s="10">
        <f>SUM(January:December!I38)</f>
        <v>96</v>
      </c>
      <c r="J38" s="11">
        <f>SUM(January:December!J38)</f>
        <v>411</v>
      </c>
    </row>
    <row r="39" spans="1:10" x14ac:dyDescent="0.3">
      <c r="A39" s="6" t="s">
        <v>47</v>
      </c>
      <c r="B39" s="7">
        <f>SUM(January:December!B39)</f>
        <v>2663</v>
      </c>
      <c r="C39" s="7">
        <f>SUM(January:December!C39)</f>
        <v>623</v>
      </c>
      <c r="D39" s="7">
        <f>SUM(January:December!D39)</f>
        <v>655</v>
      </c>
      <c r="E39" s="7">
        <f>SUM(January:December!E39)</f>
        <v>3</v>
      </c>
      <c r="F39" s="7">
        <f>SUM(January:December!F39)</f>
        <v>168</v>
      </c>
      <c r="G39" s="7">
        <f>SUM(January:December!G39)</f>
        <v>826</v>
      </c>
      <c r="H39" s="7">
        <f>SUM(January:December!H39)</f>
        <v>0</v>
      </c>
      <c r="I39" s="7">
        <f>SUM(January:December!I39)</f>
        <v>1232</v>
      </c>
      <c r="J39" s="8">
        <f>SUM(January:December!J39)</f>
        <v>1431</v>
      </c>
    </row>
    <row r="40" spans="1:10" x14ac:dyDescent="0.3">
      <c r="A40" s="18" t="s">
        <v>48</v>
      </c>
      <c r="B40" s="19">
        <f>SUM(January:December!B40)</f>
        <v>127</v>
      </c>
      <c r="C40" s="19">
        <f>SUM(January:December!C40)</f>
        <v>71</v>
      </c>
      <c r="D40" s="19">
        <f>SUM(January:December!D40)</f>
        <v>4</v>
      </c>
      <c r="E40" s="19">
        <f>SUM(January:December!E40)</f>
        <v>6</v>
      </c>
      <c r="F40" s="19">
        <f>SUM(January:December!F40)</f>
        <v>2</v>
      </c>
      <c r="G40" s="19">
        <f>SUM(January:December!G40)</f>
        <v>12</v>
      </c>
      <c r="H40" s="19">
        <f>SUM(January:December!H40)</f>
        <v>0</v>
      </c>
      <c r="I40" s="19">
        <f>SUM(January:December!I40)</f>
        <v>56</v>
      </c>
      <c r="J40" s="20">
        <f>SUM(January:December!J40)</f>
        <v>71</v>
      </c>
    </row>
    <row r="41" spans="1:10" x14ac:dyDescent="0.3">
      <c r="A41" s="21" t="s">
        <v>49</v>
      </c>
      <c r="B41" s="22">
        <f>SUM(January:December!B41)</f>
        <v>1054</v>
      </c>
      <c r="C41" s="22">
        <f>SUM(January:December!C41)</f>
        <v>466</v>
      </c>
      <c r="D41" s="22">
        <f>SUM(January:December!D41)</f>
        <v>60</v>
      </c>
      <c r="E41" s="22">
        <f>SUM(January:December!E41)</f>
        <v>3</v>
      </c>
      <c r="F41" s="22">
        <f>SUM(January:December!F41)</f>
        <v>7</v>
      </c>
      <c r="G41" s="22">
        <f>SUM(January:December!G41)</f>
        <v>70</v>
      </c>
      <c r="H41" s="22">
        <f>SUM(January:December!H41)</f>
        <v>0</v>
      </c>
      <c r="I41" s="22">
        <f>SUM(January:December!I41)</f>
        <v>552</v>
      </c>
      <c r="J41" s="23">
        <f>SUM(January:December!J41)</f>
        <v>502</v>
      </c>
    </row>
    <row r="42" spans="1:10" x14ac:dyDescent="0.3">
      <c r="A42" s="18" t="s">
        <v>50</v>
      </c>
      <c r="B42" s="19">
        <f>SUM(January:December!B42)</f>
        <v>84</v>
      </c>
      <c r="C42" s="19">
        <f>SUM(January:December!C42)</f>
        <v>41</v>
      </c>
      <c r="D42" s="19">
        <f>SUM(January:December!D42)</f>
        <v>1</v>
      </c>
      <c r="E42" s="19">
        <f>SUM(January:December!E42)</f>
        <v>0</v>
      </c>
      <c r="F42" s="19">
        <f>SUM(January:December!F42)</f>
        <v>1</v>
      </c>
      <c r="G42" s="19">
        <f>SUM(January:December!G42)</f>
        <v>2</v>
      </c>
      <c r="H42" s="19">
        <f>SUM(January:December!H42)</f>
        <v>0</v>
      </c>
      <c r="I42" s="19">
        <f>SUM(January:December!I42)</f>
        <v>39</v>
      </c>
      <c r="J42" s="20">
        <f>SUM(January:December!J42)</f>
        <v>45</v>
      </c>
    </row>
    <row r="43" spans="1:10" x14ac:dyDescent="0.3">
      <c r="A43" s="21" t="s">
        <v>51</v>
      </c>
      <c r="B43" s="22">
        <f>SUM(January:December!B43)</f>
        <v>166</v>
      </c>
      <c r="C43" s="22">
        <f>SUM(January:December!C43)</f>
        <v>59</v>
      </c>
      <c r="D43" s="22">
        <f>SUM(January:December!D43)</f>
        <v>19</v>
      </c>
      <c r="E43" s="22">
        <f>SUM(January:December!E43)</f>
        <v>2</v>
      </c>
      <c r="F43" s="22">
        <f>SUM(January:December!F43)</f>
        <v>9</v>
      </c>
      <c r="G43" s="22">
        <f>SUM(January:December!G43)</f>
        <v>30</v>
      </c>
      <c r="H43" s="22">
        <f>SUM(January:December!H43)</f>
        <v>4</v>
      </c>
      <c r="I43" s="22">
        <f>SUM(January:December!I43)</f>
        <v>85</v>
      </c>
      <c r="J43" s="23">
        <f>SUM(January:December!J43)</f>
        <v>81</v>
      </c>
    </row>
    <row r="44" spans="1:10" x14ac:dyDescent="0.3">
      <c r="A44" s="6" t="s">
        <v>52</v>
      </c>
      <c r="B44" s="7">
        <f>SUM(January:December!B44)</f>
        <v>834</v>
      </c>
      <c r="C44" s="7">
        <f>SUM(January:December!C44)</f>
        <v>410</v>
      </c>
      <c r="D44" s="7">
        <f>SUM(January:December!D44)</f>
        <v>7</v>
      </c>
      <c r="E44" s="7">
        <f>SUM(January:December!E44)</f>
        <v>0</v>
      </c>
      <c r="F44" s="7">
        <f>SUM(January:December!F44)</f>
        <v>15</v>
      </c>
      <c r="G44" s="7">
        <f>SUM(January:December!G44)</f>
        <v>22</v>
      </c>
      <c r="H44" s="7">
        <f>SUM(January:December!H44)</f>
        <v>1</v>
      </c>
      <c r="I44" s="7">
        <f>SUM(January:December!I44)</f>
        <v>364</v>
      </c>
      <c r="J44" s="8">
        <f>SUM(January:December!J44)</f>
        <v>470</v>
      </c>
    </row>
    <row r="45" spans="1:10" x14ac:dyDescent="0.3">
      <c r="A45" s="9" t="s">
        <v>53</v>
      </c>
      <c r="B45" s="10">
        <f>SUM(January:December!B45)</f>
        <v>8408</v>
      </c>
      <c r="C45" s="10">
        <f>SUM(January:December!C45)</f>
        <v>3733</v>
      </c>
      <c r="D45" s="10">
        <f>SUM(January:December!D45)</f>
        <v>283</v>
      </c>
      <c r="E45" s="10">
        <f>SUM(January:December!E45)</f>
        <v>24</v>
      </c>
      <c r="F45" s="10">
        <f>SUM(January:December!F45)</f>
        <v>146</v>
      </c>
      <c r="G45" s="10">
        <f>SUM(January:December!G45)</f>
        <v>453</v>
      </c>
      <c r="H45" s="10">
        <f>SUM(January:December!H45)</f>
        <v>8</v>
      </c>
      <c r="I45" s="10">
        <f>SUM(January:December!I45)</f>
        <v>2554</v>
      </c>
      <c r="J45" s="11">
        <f>SUM(January:December!J45)</f>
        <v>5854</v>
      </c>
    </row>
    <row r="46" spans="1:10" x14ac:dyDescent="0.3">
      <c r="A46" s="6" t="s">
        <v>54</v>
      </c>
      <c r="B46" s="7">
        <f>SUM(January:December!B46)</f>
        <v>12282</v>
      </c>
      <c r="C46" s="7">
        <f>SUM(January:December!C46)</f>
        <v>5926</v>
      </c>
      <c r="D46" s="7">
        <f>SUM(January:December!D46)</f>
        <v>5</v>
      </c>
      <c r="E46" s="7">
        <f>SUM(January:December!E46)</f>
        <v>33</v>
      </c>
      <c r="F46" s="7">
        <f>SUM(January:December!F46)</f>
        <v>223</v>
      </c>
      <c r="G46" s="7">
        <f>SUM(January:December!G46)</f>
        <v>261</v>
      </c>
      <c r="H46" s="7">
        <f>SUM(January:December!H46)</f>
        <v>4</v>
      </c>
      <c r="I46" s="7">
        <f>SUM(January:December!I46)</f>
        <v>1692</v>
      </c>
      <c r="J46" s="8">
        <f>SUM(January:December!J46)</f>
        <v>10590</v>
      </c>
    </row>
    <row r="47" spans="1:10" x14ac:dyDescent="0.3">
      <c r="A47" s="9" t="s">
        <v>55</v>
      </c>
      <c r="B47" s="10">
        <f>SUM(January:December!B47)</f>
        <v>3870</v>
      </c>
      <c r="C47" s="10">
        <f>SUM(January:December!C47)</f>
        <v>1652</v>
      </c>
      <c r="D47" s="10">
        <f>SUM(January:December!D47)</f>
        <v>91</v>
      </c>
      <c r="E47" s="10">
        <f>SUM(January:December!E47)</f>
        <v>20</v>
      </c>
      <c r="F47" s="10">
        <f>SUM(January:December!F47)</f>
        <v>150</v>
      </c>
      <c r="G47" s="10">
        <f>SUM(January:December!G47)</f>
        <v>261</v>
      </c>
      <c r="H47" s="10">
        <f>SUM(January:December!H47)</f>
        <v>13</v>
      </c>
      <c r="I47" s="10">
        <f>SUM(January:December!I47)</f>
        <v>814</v>
      </c>
      <c r="J47" s="11">
        <f>SUM(January:December!J47)</f>
        <v>3056</v>
      </c>
    </row>
    <row r="48" spans="1:10" x14ac:dyDescent="0.3">
      <c r="A48" s="6" t="s">
        <v>56</v>
      </c>
      <c r="B48" s="7">
        <f>SUM(January:December!B48)</f>
        <v>5840</v>
      </c>
      <c r="C48" s="7">
        <f>SUM(January:December!C48)</f>
        <v>2402</v>
      </c>
      <c r="D48" s="7">
        <f>SUM(January:December!D48)</f>
        <v>158</v>
      </c>
      <c r="E48" s="7">
        <f>SUM(January:December!E48)</f>
        <v>42</v>
      </c>
      <c r="F48" s="7">
        <f>SUM(January:December!F48)</f>
        <v>277</v>
      </c>
      <c r="G48" s="7">
        <f>SUM(January:December!G48)</f>
        <v>477</v>
      </c>
      <c r="H48" s="7">
        <f>SUM(January:December!H48)</f>
        <v>0</v>
      </c>
      <c r="I48" s="7">
        <f>SUM(January:December!I48)</f>
        <v>1248</v>
      </c>
      <c r="J48" s="8">
        <f>SUM(January:December!J48)</f>
        <v>4592</v>
      </c>
    </row>
    <row r="49" spans="1:10" x14ac:dyDescent="0.3">
      <c r="A49" s="9" t="s">
        <v>57</v>
      </c>
      <c r="B49" s="10">
        <f>SUM(January:December!B49)</f>
        <v>16302</v>
      </c>
      <c r="C49" s="10">
        <f>SUM(January:December!C49)</f>
        <v>6924</v>
      </c>
      <c r="D49" s="10">
        <f>SUM(January:December!D49)</f>
        <v>731</v>
      </c>
      <c r="E49" s="10">
        <f>SUM(January:December!E49)</f>
        <v>48</v>
      </c>
      <c r="F49" s="10">
        <f>SUM(January:December!F49)</f>
        <v>350</v>
      </c>
      <c r="G49" s="10">
        <f>SUM(January:December!G49)</f>
        <v>1129</v>
      </c>
      <c r="H49" s="10">
        <f>SUM(January:December!H49)</f>
        <v>122</v>
      </c>
      <c r="I49" s="10">
        <f>SUM(January:December!I49)</f>
        <v>3292</v>
      </c>
      <c r="J49" s="11">
        <f>SUM(January:December!J49)</f>
        <v>13010</v>
      </c>
    </row>
    <row r="50" spans="1:10" x14ac:dyDescent="0.3">
      <c r="A50" s="6" t="s">
        <v>58</v>
      </c>
      <c r="B50" s="7">
        <f>SUM(January:December!B50)</f>
        <v>1884</v>
      </c>
      <c r="C50" s="7">
        <f>SUM(January:December!C50)</f>
        <v>863</v>
      </c>
      <c r="D50" s="7">
        <f>SUM(January:December!D50)</f>
        <v>158</v>
      </c>
      <c r="E50" s="7">
        <f>SUM(January:December!E50)</f>
        <v>13</v>
      </c>
      <c r="F50" s="7">
        <f>SUM(January:December!F50)</f>
        <v>30</v>
      </c>
      <c r="G50" s="7">
        <f>SUM(January:December!G50)</f>
        <v>201</v>
      </c>
      <c r="H50" s="7">
        <f>SUM(January:December!H50)</f>
        <v>3</v>
      </c>
      <c r="I50" s="7">
        <f>SUM(January:December!I50)</f>
        <v>608</v>
      </c>
      <c r="J50" s="8">
        <f>SUM(January:December!J50)</f>
        <v>1276</v>
      </c>
    </row>
    <row r="51" spans="1:10" x14ac:dyDescent="0.3">
      <c r="A51" s="9" t="s">
        <v>59</v>
      </c>
      <c r="B51" s="10">
        <f>SUM(January:December!B51)</f>
        <v>6352</v>
      </c>
      <c r="C51" s="10">
        <f>SUM(January:December!C51)</f>
        <v>2737</v>
      </c>
      <c r="D51" s="10">
        <f>SUM(January:December!D51)</f>
        <v>289</v>
      </c>
      <c r="E51" s="10">
        <f>SUM(January:December!E51)</f>
        <v>41</v>
      </c>
      <c r="F51" s="10">
        <f>SUM(January:December!F51)</f>
        <v>137</v>
      </c>
      <c r="G51" s="10">
        <f>SUM(January:December!G51)</f>
        <v>467</v>
      </c>
      <c r="H51" s="10">
        <f>SUM(January:December!H51)</f>
        <v>5</v>
      </c>
      <c r="I51" s="10">
        <f>SUM(January:December!I51)</f>
        <v>1132</v>
      </c>
      <c r="J51" s="11">
        <f>SUM(January:December!J51)</f>
        <v>5220</v>
      </c>
    </row>
    <row r="52" spans="1:10" x14ac:dyDescent="0.3">
      <c r="A52" s="6" t="s">
        <v>60</v>
      </c>
      <c r="B52" s="7">
        <f>SUM(January:December!B52)</f>
        <v>1124</v>
      </c>
      <c r="C52" s="7">
        <f>SUM(January:December!C52)</f>
        <v>593</v>
      </c>
      <c r="D52" s="7">
        <f>SUM(January:December!D52)</f>
        <v>38</v>
      </c>
      <c r="E52" s="7">
        <f>SUM(January:December!E52)</f>
        <v>0</v>
      </c>
      <c r="F52" s="7">
        <f>SUM(January:December!F52)</f>
        <v>27</v>
      </c>
      <c r="G52" s="7">
        <f>SUM(January:December!G52)</f>
        <v>65</v>
      </c>
      <c r="H52" s="7">
        <f>SUM(January:December!H52)</f>
        <v>2</v>
      </c>
      <c r="I52" s="7">
        <f>SUM(January:December!I52)</f>
        <v>336</v>
      </c>
      <c r="J52" s="8">
        <f>SUM(January:December!J52)</f>
        <v>788</v>
      </c>
    </row>
    <row r="53" spans="1:10" x14ac:dyDescent="0.3">
      <c r="A53" s="9" t="s">
        <v>61</v>
      </c>
      <c r="B53" s="10">
        <f>SUM(January:December!B53)</f>
        <v>369</v>
      </c>
      <c r="C53" s="10">
        <f>SUM(January:December!C53)</f>
        <v>191</v>
      </c>
      <c r="D53" s="10">
        <f>SUM(January:December!D53)</f>
        <v>14</v>
      </c>
      <c r="E53" s="10">
        <f>SUM(January:December!E53)</f>
        <v>0</v>
      </c>
      <c r="F53" s="10">
        <f>SUM(January:December!F53)</f>
        <v>5</v>
      </c>
      <c r="G53" s="10">
        <f>SUM(January:December!G53)</f>
        <v>19</v>
      </c>
      <c r="H53" s="10">
        <f>SUM(January:December!H53)</f>
        <v>0</v>
      </c>
      <c r="I53" s="10">
        <f>SUM(January:December!I53)</f>
        <v>138</v>
      </c>
      <c r="J53" s="11">
        <f>SUM(January:December!J53)</f>
        <v>231</v>
      </c>
    </row>
    <row r="54" spans="1:10" x14ac:dyDescent="0.3">
      <c r="A54" s="6" t="s">
        <v>62</v>
      </c>
      <c r="B54" s="7">
        <f>SUM(January:December!B54)</f>
        <v>6164</v>
      </c>
      <c r="C54" s="7">
        <f>SUM(January:December!C54)</f>
        <v>2969</v>
      </c>
      <c r="D54" s="7">
        <f>SUM(January:December!D54)</f>
        <v>60</v>
      </c>
      <c r="E54" s="7">
        <f>SUM(January:December!E54)</f>
        <v>7</v>
      </c>
      <c r="F54" s="7">
        <f>SUM(January:December!F54)</f>
        <v>80</v>
      </c>
      <c r="G54" s="7">
        <f>SUM(January:December!G54)</f>
        <v>147</v>
      </c>
      <c r="H54" s="7">
        <f>SUM(January:December!H54)</f>
        <v>6</v>
      </c>
      <c r="I54" s="7">
        <f>SUM(January:December!I54)</f>
        <v>2012</v>
      </c>
      <c r="J54" s="8">
        <f>SUM(January:December!J54)</f>
        <v>4152</v>
      </c>
    </row>
    <row r="55" spans="1:10" x14ac:dyDescent="0.3">
      <c r="A55" s="30" t="s">
        <v>63</v>
      </c>
      <c r="B55" s="31">
        <f>SUM(B12,B13,B14,B15)</f>
        <v>5615</v>
      </c>
      <c r="C55" s="31">
        <f t="shared" ref="C55:J55" si="0">SUM(C12,C13,C14,C15)</f>
        <v>2602</v>
      </c>
      <c r="D55" s="31">
        <f t="shared" si="0"/>
        <v>163</v>
      </c>
      <c r="E55" s="31">
        <f t="shared" si="0"/>
        <v>32</v>
      </c>
      <c r="F55" s="31">
        <f t="shared" si="0"/>
        <v>179</v>
      </c>
      <c r="G55" s="31">
        <f t="shared" si="0"/>
        <v>374</v>
      </c>
      <c r="H55" s="31">
        <f t="shared" si="0"/>
        <v>11</v>
      </c>
      <c r="I55" s="31">
        <f t="shared" si="0"/>
        <v>2607</v>
      </c>
      <c r="J55" s="32">
        <f t="shared" si="0"/>
        <v>3008</v>
      </c>
    </row>
    <row r="56" spans="1:10" x14ac:dyDescent="0.3">
      <c r="A56" s="27" t="s">
        <v>64</v>
      </c>
      <c r="B56" s="28">
        <f>SUM(B40,B41,B42,B43)</f>
        <v>1431</v>
      </c>
      <c r="C56" s="28">
        <f t="shared" ref="C56:J56" si="1">SUM(C40,C41,C42,C43)</f>
        <v>637</v>
      </c>
      <c r="D56" s="28">
        <f t="shared" si="1"/>
        <v>84</v>
      </c>
      <c r="E56" s="28">
        <f t="shared" si="1"/>
        <v>11</v>
      </c>
      <c r="F56" s="28">
        <f t="shared" si="1"/>
        <v>19</v>
      </c>
      <c r="G56" s="28">
        <f t="shared" si="1"/>
        <v>114</v>
      </c>
      <c r="H56" s="28">
        <f t="shared" si="1"/>
        <v>4</v>
      </c>
      <c r="I56" s="28">
        <f t="shared" si="1"/>
        <v>732</v>
      </c>
      <c r="J56" s="29">
        <f t="shared" si="1"/>
        <v>699</v>
      </c>
    </row>
    <row r="57" spans="1:10" x14ac:dyDescent="0.3">
      <c r="A57" s="24" t="s">
        <v>65</v>
      </c>
      <c r="B57" s="25">
        <f>SUM(B2:B54)</f>
        <v>324367</v>
      </c>
      <c r="C57" s="25">
        <f t="shared" ref="C57:J57" si="2">SUM(C2:C54)</f>
        <v>137564</v>
      </c>
      <c r="D57" s="25">
        <f t="shared" si="2"/>
        <v>16090</v>
      </c>
      <c r="E57" s="25">
        <f t="shared" si="2"/>
        <v>1312</v>
      </c>
      <c r="F57" s="25">
        <f t="shared" si="2"/>
        <v>8482</v>
      </c>
      <c r="G57" s="25">
        <f t="shared" si="2"/>
        <v>25884</v>
      </c>
      <c r="H57" s="25">
        <f t="shared" si="2"/>
        <v>1134</v>
      </c>
      <c r="I57" s="25">
        <f t="shared" si="2"/>
        <v>75884</v>
      </c>
      <c r="J57" s="26">
        <f t="shared" si="2"/>
        <v>248483</v>
      </c>
    </row>
  </sheetData>
  <autoFilter ref="A1:J57" xr:uid="{00000000-0009-0000-0000-00000C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Yearly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Williams</cp:lastModifiedBy>
  <dcterms:created xsi:type="dcterms:W3CDTF">2026-02-06T20:24:30Z</dcterms:created>
  <dcterms:modified xsi:type="dcterms:W3CDTF">2026-10-01T20:24:51Z</dcterms:modified>
</cp:coreProperties>
</file>