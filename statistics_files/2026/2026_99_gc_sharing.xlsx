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6CF82C4D-4917-41A1-B177-BCBADF5BC8F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April!$A$1:$D$56</definedName>
    <definedName name="_xlnm._FilterDatabase" localSheetId="7" hidden="1">August!$A$1:$D$56</definedName>
    <definedName name="_xlnm._FilterDatabase" localSheetId="11" hidden="1">December!$A$1:$D$56</definedName>
    <definedName name="_xlnm._FilterDatabase" localSheetId="1" hidden="1">February!$A$1:$D$56</definedName>
    <definedName name="_xlnm._FilterDatabase" localSheetId="0" hidden="1">January!$A$1:$D$56</definedName>
    <definedName name="_xlnm._FilterDatabase" localSheetId="6" hidden="1">July!$A$1:$D$56</definedName>
    <definedName name="_xlnm._FilterDatabase" localSheetId="5" hidden="1">June!$A$1:$D$56</definedName>
    <definedName name="_xlnm._FilterDatabase" localSheetId="2" hidden="1">March!$A$1:$D$56</definedName>
    <definedName name="_xlnm._FilterDatabase" localSheetId="4" hidden="1">May!$A$1:$D$56</definedName>
    <definedName name="_xlnm._FilterDatabase" localSheetId="10" hidden="1">November!$A$1:$D$56</definedName>
    <definedName name="_xlnm._FilterDatabase" localSheetId="9" hidden="1">October!$A$1:$D$56</definedName>
    <definedName name="_xlnm._FilterDatabase" localSheetId="8" hidden="1">September!$A$1:$D$56</definedName>
    <definedName name="_xlnm._FilterDatabase" localSheetId="12" hidden="1">'Yearly total'!$A$1:$D$56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3" l="1"/>
  <c r="C54" i="13"/>
  <c r="B54" i="13"/>
  <c r="D53" i="13"/>
  <c r="C53" i="13"/>
  <c r="B53" i="13"/>
  <c r="D52" i="13"/>
  <c r="C52" i="13"/>
  <c r="B52" i="13"/>
  <c r="D51" i="13"/>
  <c r="C51" i="13"/>
  <c r="B51" i="13"/>
  <c r="D50" i="13"/>
  <c r="C50" i="13"/>
  <c r="B50" i="13"/>
  <c r="D49" i="13"/>
  <c r="C49" i="13"/>
  <c r="B49" i="13"/>
  <c r="D48" i="13"/>
  <c r="C48" i="13"/>
  <c r="B48" i="13"/>
  <c r="D47" i="13"/>
  <c r="C47" i="13"/>
  <c r="B47" i="13"/>
  <c r="D46" i="13"/>
  <c r="C46" i="13"/>
  <c r="B46" i="13"/>
  <c r="D45" i="13"/>
  <c r="C45" i="13"/>
  <c r="B45" i="13"/>
  <c r="D44" i="13"/>
  <c r="C44" i="13"/>
  <c r="B44" i="13"/>
  <c r="D43" i="13"/>
  <c r="C43" i="13"/>
  <c r="B43" i="13"/>
  <c r="D42" i="13"/>
  <c r="C42" i="13"/>
  <c r="B42" i="13"/>
  <c r="D41" i="13"/>
  <c r="C41" i="13"/>
  <c r="B41" i="13"/>
  <c r="D40" i="13"/>
  <c r="D56" i="13" s="1"/>
  <c r="C40" i="13"/>
  <c r="C56" i="13" s="1"/>
  <c r="B40" i="13"/>
  <c r="D39" i="13"/>
  <c r="C39" i="13"/>
  <c r="B39" i="13"/>
  <c r="D38" i="13"/>
  <c r="C38" i="13"/>
  <c r="B38" i="13"/>
  <c r="D37" i="13"/>
  <c r="C37" i="13"/>
  <c r="B37" i="13"/>
  <c r="D36" i="13"/>
  <c r="C36" i="13"/>
  <c r="B36" i="13"/>
  <c r="D35" i="13"/>
  <c r="C35" i="13"/>
  <c r="B35" i="13"/>
  <c r="D34" i="13"/>
  <c r="C34" i="13"/>
  <c r="B34" i="13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D55" i="13" s="1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D56" i="12"/>
  <c r="C56" i="12"/>
  <c r="B56" i="12"/>
  <c r="D55" i="12"/>
  <c r="C55" i="12"/>
  <c r="B55" i="12"/>
  <c r="D56" i="11"/>
  <c r="C56" i="11"/>
  <c r="B56" i="11"/>
  <c r="D55" i="11"/>
  <c r="C55" i="11"/>
  <c r="B55" i="11"/>
  <c r="D56" i="10"/>
  <c r="C56" i="10"/>
  <c r="B56" i="10"/>
  <c r="D55" i="10"/>
  <c r="C55" i="10"/>
  <c r="B55" i="10"/>
  <c r="D56" i="9"/>
  <c r="C56" i="9"/>
  <c r="B56" i="9"/>
  <c r="D55" i="9"/>
  <c r="C55" i="9"/>
  <c r="B55" i="9"/>
  <c r="D56" i="8"/>
  <c r="C56" i="8"/>
  <c r="B56" i="8"/>
  <c r="D55" i="8"/>
  <c r="C55" i="8"/>
  <c r="B55" i="8"/>
  <c r="D56" i="7"/>
  <c r="C56" i="7"/>
  <c r="B56" i="7"/>
  <c r="D55" i="7"/>
  <c r="C55" i="7"/>
  <c r="B55" i="7"/>
  <c r="D56" i="6"/>
  <c r="C56" i="6"/>
  <c r="B56" i="6"/>
  <c r="D55" i="6"/>
  <c r="C55" i="6"/>
  <c r="B55" i="6"/>
  <c r="D56" i="5"/>
  <c r="C56" i="5"/>
  <c r="B56" i="5"/>
  <c r="D55" i="5"/>
  <c r="C55" i="5"/>
  <c r="B55" i="5"/>
  <c r="D56" i="4"/>
  <c r="C56" i="4"/>
  <c r="B56" i="4"/>
  <c r="D55" i="4"/>
  <c r="C55" i="4"/>
  <c r="B55" i="4"/>
  <c r="D56" i="3"/>
  <c r="C56" i="3"/>
  <c r="B56" i="3"/>
  <c r="D55" i="3"/>
  <c r="C55" i="3"/>
  <c r="B55" i="3"/>
  <c r="D56" i="2"/>
  <c r="C56" i="2"/>
  <c r="B56" i="2"/>
  <c r="D55" i="2"/>
  <c r="C55" i="2"/>
  <c r="B55" i="2"/>
  <c r="D56" i="1"/>
  <c r="C56" i="1"/>
  <c r="B56" i="1"/>
  <c r="D55" i="1"/>
  <c r="C55" i="1"/>
  <c r="B55" i="1"/>
  <c r="C55" i="13" l="1"/>
  <c r="B56" i="13"/>
  <c r="B55" i="13"/>
</calcChain>
</file>

<file path=xl/sharedStrings.xml><?xml version="1.0" encoding="utf-8"?>
<sst xmlns="http://schemas.openxmlformats.org/spreadsheetml/2006/main" count="767" uniqueCount="59">
  <si>
    <t>Library</t>
  </si>
  <si>
    <t>Items owned by this library checked out at this library this month</t>
  </si>
  <si>
    <t>Items owned by other libraries checked out at this library this month</t>
  </si>
  <si>
    <t>Total circulation this month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</si>
  <si>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</si>
  <si>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</si>
  <si>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</si>
  <si>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</si>
  <si>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</si>
  <si>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</si>
  <si>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</si>
  <si>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</si>
  <si>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</si>
  <si>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</si>
  <si>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</si>
  <si>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</si>
  <si>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</si>
  <si>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</si>
  <si>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</si>
  <si>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</si>
  <si>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</si>
  <si>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</si>
  <si>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</si>
  <si>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</si>
  <si>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</si>
  <si>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</si>
  <si>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</si>
  <si>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</si>
  <si>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</si>
  <si>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</si>
  <si>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</si>
  <si>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</si>
  <si>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</si>
  <si>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</si>
  <si>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</si>
  <si>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</si>
  <si>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</si>
  <si>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</si>
  <si>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</si>
  <si>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</si>
  <si>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</si>
  <si>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</si>
  <si>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</si>
  <si>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</si>
  <si>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</si>
  <si>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</si>
  <si>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</si>
  <si>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</si>
  <si>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</si>
  <si>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</si>
  <si>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</si>
  <si>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</si>
  <si>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</si>
  <si>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</si>
  <si>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</si>
  <si>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</si>
  <si>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</si>
  <si>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Prairie Hills Schools - total</t>
  </si>
  <si>
    <t>Doniphan County Library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</si>
</sst>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33" borderId="10" xfId="0" applyFill="1" applyBorder="1" applyAlignment="1">
      <alignment horizontal="right" vertical="center" wrapText="1"/>
    </xf>
    <xf numFmtId="0" fontId="0" fillId="0" borderId="10" xfId="0" applyBorder="1" applyAlignment="1">
      <alignment horizontal="right" vertical="center" wrapText="1"/>
    </xf>
    <xf numFmtId="0" fontId="0" fillId="34" borderId="10" xfId="0" applyFill="1" applyBorder="1" applyAlignment="1">
      <alignment horizontal="right" vertical="center" wrapText="1"/>
    </xf>
    <xf numFmtId="0" fontId="0" fillId="35" borderId="10" xfId="0" applyFill="1" applyBorder="1" applyAlignment="1">
      <alignment horizontal="right" vertical="center" wrapText="1"/>
    </xf>
    <xf numFmtId="0" fontId="0" fillId="36" borderId="10" xfId="0" applyFill="1" applyBorder="1" applyAlignment="1">
      <alignment horizontal="right" vertical="center" wrapText="1"/>
    </xf>
    <xf numFmtId="0" fontId="0" fillId="37" borderId="10" xfId="0" applyFill="1" applyBorder="1" applyAlignment="1">
      <alignment horizontal="right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56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4222</v>
      </c>
      <c r="C2" s="3">
        <v>1441</v>
      </c>
      <c r="D2" s="3">
        <v>5663</v>
      </c>
    </row>
    <row r="3" spans="1:4" ht="15" customHeight="1" x14ac:dyDescent="0.25">
      <c r="A3" s="4" t="s">
        <v>5</v>
      </c>
      <c r="B3" s="4">
        <v>2584</v>
      </c>
      <c r="C3" s="4">
        <v>671</v>
      </c>
      <c r="D3" s="4">
        <v>3255</v>
      </c>
    </row>
    <row r="4" spans="1:4" ht="15" customHeight="1" x14ac:dyDescent="0.25">
      <c r="A4" s="3" t="s">
        <v>6</v>
      </c>
      <c r="B4" s="3">
        <v>7786</v>
      </c>
      <c r="C4" s="3">
        <v>1369</v>
      </c>
      <c r="D4" s="3">
        <v>9155</v>
      </c>
    </row>
    <row r="5" spans="1:4" ht="15" customHeight="1" x14ac:dyDescent="0.25">
      <c r="A5" s="4" t="s">
        <v>7</v>
      </c>
      <c r="B5" s="4">
        <v>61</v>
      </c>
      <c r="C5" s="4">
        <v>28</v>
      </c>
      <c r="D5" s="4">
        <v>89</v>
      </c>
    </row>
    <row r="6" spans="1:4" ht="15" customHeight="1" x14ac:dyDescent="0.25">
      <c r="A6" s="3" t="s">
        <v>8</v>
      </c>
      <c r="B6" s="3">
        <v>5110</v>
      </c>
      <c r="C6" s="3">
        <v>1162</v>
      </c>
      <c r="D6" s="3">
        <v>6272</v>
      </c>
    </row>
    <row r="7" spans="1:4" ht="15" customHeight="1" x14ac:dyDescent="0.25">
      <c r="A7" s="4" t="s">
        <v>9</v>
      </c>
      <c r="B7" s="4">
        <v>845</v>
      </c>
      <c r="C7" s="4">
        <v>217</v>
      </c>
      <c r="D7" s="4">
        <v>1062</v>
      </c>
    </row>
    <row r="8" spans="1:4" ht="15" customHeight="1" x14ac:dyDescent="0.25">
      <c r="A8" s="3" t="s">
        <v>10</v>
      </c>
      <c r="B8" s="3">
        <v>374</v>
      </c>
      <c r="C8" s="3">
        <v>111</v>
      </c>
      <c r="D8" s="3">
        <v>485</v>
      </c>
    </row>
    <row r="9" spans="1:4" ht="15" customHeight="1" x14ac:dyDescent="0.25">
      <c r="A9" s="4" t="s">
        <v>11</v>
      </c>
      <c r="B9" s="4">
        <v>178</v>
      </c>
      <c r="C9" s="4">
        <v>73</v>
      </c>
      <c r="D9" s="4">
        <v>251</v>
      </c>
    </row>
    <row r="10" spans="1:4" ht="15" customHeight="1" x14ac:dyDescent="0.25">
      <c r="A10" s="3" t="s">
        <v>12</v>
      </c>
      <c r="B10" s="3">
        <v>53</v>
      </c>
      <c r="C10" s="3"/>
      <c r="D10" s="3">
        <v>53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21</v>
      </c>
      <c r="C12" s="5">
        <v>7</v>
      </c>
      <c r="D12" s="5">
        <v>28</v>
      </c>
    </row>
    <row r="13" spans="1:4" ht="15" customHeight="1" x14ac:dyDescent="0.25">
      <c r="A13" s="6" t="s">
        <v>15</v>
      </c>
      <c r="B13" s="6">
        <v>108</v>
      </c>
      <c r="C13" s="6">
        <v>42</v>
      </c>
      <c r="D13" s="6">
        <v>150</v>
      </c>
    </row>
    <row r="14" spans="1:4" ht="15" customHeight="1" x14ac:dyDescent="0.25">
      <c r="A14" s="5" t="s">
        <v>16</v>
      </c>
      <c r="B14" s="5">
        <v>577</v>
      </c>
      <c r="C14" s="5">
        <v>168</v>
      </c>
      <c r="D14" s="5">
        <v>745</v>
      </c>
    </row>
    <row r="15" spans="1:4" ht="15" customHeight="1" x14ac:dyDescent="0.25">
      <c r="A15" s="6" t="s">
        <v>17</v>
      </c>
      <c r="B15" s="6">
        <v>315</v>
      </c>
      <c r="C15" s="6">
        <v>55</v>
      </c>
      <c r="D15" s="6">
        <v>370</v>
      </c>
    </row>
    <row r="16" spans="1:4" ht="15" customHeight="1" x14ac:dyDescent="0.25">
      <c r="A16" s="3" t="s">
        <v>18</v>
      </c>
      <c r="B16" s="3">
        <v>172</v>
      </c>
      <c r="C16" s="3">
        <v>74</v>
      </c>
      <c r="D16" s="3">
        <v>246</v>
      </c>
    </row>
    <row r="17" spans="1:4" ht="15" customHeight="1" x14ac:dyDescent="0.25">
      <c r="A17" s="4" t="s">
        <v>19</v>
      </c>
      <c r="B17" s="4">
        <v>1204</v>
      </c>
      <c r="C17" s="4">
        <v>694</v>
      </c>
      <c r="D17" s="4">
        <v>1898</v>
      </c>
    </row>
    <row r="18" spans="1:4" ht="15" customHeight="1" x14ac:dyDescent="0.25">
      <c r="A18" s="3" t="s">
        <v>20</v>
      </c>
      <c r="B18" s="3">
        <v>90</v>
      </c>
      <c r="C18" s="3">
        <v>89</v>
      </c>
      <c r="D18" s="3">
        <v>179</v>
      </c>
    </row>
    <row r="19" spans="1:4" ht="15" customHeight="1" x14ac:dyDescent="0.25">
      <c r="A19" s="4" t="s">
        <v>21</v>
      </c>
      <c r="B19" s="4">
        <v>1547</v>
      </c>
      <c r="C19" s="4">
        <v>485</v>
      </c>
      <c r="D19" s="4">
        <v>2032</v>
      </c>
    </row>
    <row r="20" spans="1:4" ht="15" customHeight="1" x14ac:dyDescent="0.25">
      <c r="A20" s="3" t="s">
        <v>22</v>
      </c>
      <c r="B20" s="3">
        <v>24</v>
      </c>
      <c r="C20" s="3">
        <v>3</v>
      </c>
      <c r="D20" s="3">
        <v>27</v>
      </c>
    </row>
    <row r="21" spans="1:4" ht="15" customHeight="1" x14ac:dyDescent="0.25">
      <c r="A21" s="4" t="s">
        <v>23</v>
      </c>
      <c r="B21" s="4">
        <v>1517</v>
      </c>
      <c r="C21" s="4">
        <v>501</v>
      </c>
      <c r="D21" s="4">
        <v>2018</v>
      </c>
    </row>
    <row r="22" spans="1:4" ht="15" customHeight="1" x14ac:dyDescent="0.25">
      <c r="A22" s="3" t="s">
        <v>24</v>
      </c>
      <c r="B22" s="3">
        <v>223</v>
      </c>
      <c r="C22" s="3">
        <v>90</v>
      </c>
      <c r="D22" s="3">
        <v>313</v>
      </c>
    </row>
    <row r="23" spans="1:4" ht="15" customHeight="1" x14ac:dyDescent="0.25">
      <c r="A23" s="4" t="s">
        <v>25</v>
      </c>
      <c r="B23" s="4">
        <v>1917</v>
      </c>
      <c r="C23" s="4">
        <v>613</v>
      </c>
      <c r="D23" s="4">
        <v>2530</v>
      </c>
    </row>
    <row r="24" spans="1:4" ht="15" customHeight="1" x14ac:dyDescent="0.25">
      <c r="A24" s="3" t="s">
        <v>26</v>
      </c>
      <c r="B24" s="3">
        <v>9496</v>
      </c>
      <c r="C24" s="3">
        <v>1809</v>
      </c>
      <c r="D24" s="3">
        <v>11305</v>
      </c>
    </row>
    <row r="25" spans="1:4" ht="15" customHeight="1" x14ac:dyDescent="0.25">
      <c r="A25" s="4" t="s">
        <v>27</v>
      </c>
      <c r="B25" s="4">
        <v>406</v>
      </c>
      <c r="C25" s="4">
        <v>172</v>
      </c>
      <c r="D25" s="4">
        <v>578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410</v>
      </c>
      <c r="C27" s="4">
        <v>231</v>
      </c>
      <c r="D27" s="4">
        <v>641</v>
      </c>
    </row>
    <row r="28" spans="1:4" ht="15" customHeight="1" x14ac:dyDescent="0.25">
      <c r="A28" s="3" t="s">
        <v>30</v>
      </c>
      <c r="B28" s="3">
        <v>327</v>
      </c>
      <c r="C28" s="3">
        <v>132</v>
      </c>
      <c r="D28" s="3">
        <v>459</v>
      </c>
    </row>
    <row r="29" spans="1:4" ht="15" customHeight="1" x14ac:dyDescent="0.25">
      <c r="A29" s="4" t="s">
        <v>31</v>
      </c>
      <c r="B29" s="4">
        <v>1689</v>
      </c>
      <c r="C29" s="4">
        <v>891</v>
      </c>
      <c r="D29" s="4">
        <v>2580</v>
      </c>
    </row>
    <row r="30" spans="1:4" ht="15" customHeight="1" x14ac:dyDescent="0.25">
      <c r="A30" s="3" t="s">
        <v>32</v>
      </c>
      <c r="B30" s="3">
        <v>13</v>
      </c>
      <c r="C30" s="3">
        <v>24</v>
      </c>
      <c r="D30" s="3">
        <v>37</v>
      </c>
    </row>
    <row r="31" spans="1:4" ht="15" customHeight="1" x14ac:dyDescent="0.25">
      <c r="A31" s="4" t="s">
        <v>33</v>
      </c>
      <c r="B31" s="4">
        <v>375</v>
      </c>
      <c r="C31" s="4">
        <v>119</v>
      </c>
      <c r="D31" s="4">
        <v>494</v>
      </c>
    </row>
    <row r="32" spans="1:4" ht="15" customHeight="1" x14ac:dyDescent="0.25">
      <c r="A32" s="3" t="s">
        <v>34</v>
      </c>
      <c r="B32" s="3">
        <v>1269</v>
      </c>
      <c r="C32" s="3">
        <v>521</v>
      </c>
      <c r="D32" s="3">
        <v>1790</v>
      </c>
    </row>
    <row r="33" spans="1:4" ht="15" customHeight="1" x14ac:dyDescent="0.25">
      <c r="A33" s="4" t="s">
        <v>35</v>
      </c>
      <c r="B33" s="4">
        <v>688</v>
      </c>
      <c r="C33" s="4">
        <v>373</v>
      </c>
      <c r="D33" s="4">
        <v>1061</v>
      </c>
    </row>
    <row r="34" spans="1:4" ht="15" customHeight="1" x14ac:dyDescent="0.25">
      <c r="A34" s="3" t="s">
        <v>36</v>
      </c>
      <c r="B34" s="3">
        <v>437</v>
      </c>
      <c r="C34" s="3">
        <v>208</v>
      </c>
      <c r="D34" s="3">
        <v>645</v>
      </c>
    </row>
    <row r="35" spans="1:4" ht="15" customHeight="1" x14ac:dyDescent="0.25">
      <c r="A35" s="4" t="s">
        <v>37</v>
      </c>
      <c r="B35" s="4">
        <v>5970</v>
      </c>
      <c r="C35" s="4">
        <v>925</v>
      </c>
      <c r="D35" s="4">
        <v>6895</v>
      </c>
    </row>
    <row r="36" spans="1:4" ht="15" customHeight="1" x14ac:dyDescent="0.25">
      <c r="A36" s="3" t="s">
        <v>38</v>
      </c>
      <c r="B36" s="3">
        <v>799</v>
      </c>
      <c r="C36" s="3">
        <v>180</v>
      </c>
      <c r="D36" s="3">
        <v>979</v>
      </c>
    </row>
    <row r="37" spans="1:4" ht="15" customHeight="1" x14ac:dyDescent="0.25">
      <c r="A37" s="4" t="s">
        <v>39</v>
      </c>
      <c r="B37" s="4">
        <v>2797</v>
      </c>
      <c r="C37" s="4">
        <v>493</v>
      </c>
      <c r="D37" s="4">
        <v>3290</v>
      </c>
    </row>
    <row r="38" spans="1:4" ht="15" customHeight="1" x14ac:dyDescent="0.25">
      <c r="A38" s="3" t="s">
        <v>40</v>
      </c>
      <c r="B38" s="3">
        <v>168</v>
      </c>
      <c r="C38" s="3">
        <v>19</v>
      </c>
      <c r="D38" s="3">
        <v>187</v>
      </c>
    </row>
    <row r="39" spans="1:4" ht="15" customHeight="1" x14ac:dyDescent="0.25">
      <c r="A39" s="4" t="s">
        <v>41</v>
      </c>
      <c r="B39" s="4">
        <v>105</v>
      </c>
      <c r="C39" s="4">
        <v>240</v>
      </c>
      <c r="D39" s="4">
        <v>345</v>
      </c>
    </row>
    <row r="40" spans="1:4" ht="15" customHeight="1" x14ac:dyDescent="0.25">
      <c r="A40" s="7" t="s">
        <v>42</v>
      </c>
      <c r="B40" s="7">
        <v>430</v>
      </c>
      <c r="C40" s="7">
        <v>9</v>
      </c>
      <c r="D40" s="7">
        <v>439</v>
      </c>
    </row>
    <row r="41" spans="1:4" ht="15" customHeight="1" x14ac:dyDescent="0.25">
      <c r="A41" s="8" t="s">
        <v>43</v>
      </c>
      <c r="B41" s="8">
        <v>2240</v>
      </c>
      <c r="C41" s="8">
        <v>87</v>
      </c>
      <c r="D41" s="8">
        <v>2327</v>
      </c>
    </row>
    <row r="42" spans="1:4" ht="15" customHeight="1" x14ac:dyDescent="0.25">
      <c r="A42" s="7" t="s">
        <v>44</v>
      </c>
      <c r="B42" s="7">
        <v>46</v>
      </c>
      <c r="C42" s="7">
        <v>7</v>
      </c>
      <c r="D42" s="7">
        <v>53</v>
      </c>
    </row>
    <row r="43" spans="1:4" ht="15" customHeight="1" x14ac:dyDescent="0.25">
      <c r="A43" s="8" t="s">
        <v>45</v>
      </c>
      <c r="B43" s="8">
        <v>295</v>
      </c>
      <c r="C43" s="8">
        <v>15</v>
      </c>
      <c r="D43" s="8">
        <v>310</v>
      </c>
    </row>
    <row r="44" spans="1:4" ht="15" customHeight="1" x14ac:dyDescent="0.25">
      <c r="A44" s="3" t="s">
        <v>46</v>
      </c>
      <c r="B44" s="3">
        <v>260</v>
      </c>
      <c r="C44" s="3">
        <v>63</v>
      </c>
      <c r="D44" s="3">
        <v>323</v>
      </c>
    </row>
    <row r="45" spans="1:4" ht="15" customHeight="1" x14ac:dyDescent="0.25">
      <c r="A45" s="4" t="s">
        <v>47</v>
      </c>
      <c r="B45" s="4">
        <v>1296</v>
      </c>
      <c r="C45" s="4">
        <v>598</v>
      </c>
      <c r="D45" s="4">
        <v>1894</v>
      </c>
    </row>
    <row r="46" spans="1:4" ht="15" customHeight="1" x14ac:dyDescent="0.25">
      <c r="A46" s="3" t="s">
        <v>48</v>
      </c>
      <c r="B46" s="3">
        <v>2449</v>
      </c>
      <c r="C46" s="3">
        <v>1116</v>
      </c>
      <c r="D46" s="3">
        <v>3565</v>
      </c>
    </row>
    <row r="47" spans="1:4" ht="15" customHeight="1" x14ac:dyDescent="0.25">
      <c r="A47" s="4" t="s">
        <v>49</v>
      </c>
      <c r="B47" s="4">
        <v>1149</v>
      </c>
      <c r="C47" s="4">
        <v>208</v>
      </c>
      <c r="D47" s="4">
        <v>1357</v>
      </c>
    </row>
    <row r="48" spans="1:4" ht="15" customHeight="1" x14ac:dyDescent="0.25">
      <c r="A48" s="3" t="s">
        <v>50</v>
      </c>
      <c r="B48" s="3">
        <v>486</v>
      </c>
      <c r="C48" s="3">
        <v>416</v>
      </c>
      <c r="D48" s="3">
        <v>902</v>
      </c>
    </row>
    <row r="49" spans="1:4" ht="15" customHeight="1" x14ac:dyDescent="0.25">
      <c r="A49" s="4" t="s">
        <v>51</v>
      </c>
      <c r="B49" s="4">
        <v>3007</v>
      </c>
      <c r="C49" s="4">
        <v>873</v>
      </c>
      <c r="D49" s="4">
        <v>3880</v>
      </c>
    </row>
    <row r="50" spans="1:4" ht="15" customHeight="1" x14ac:dyDescent="0.25">
      <c r="A50" s="3" t="s">
        <v>52</v>
      </c>
      <c r="B50" s="3">
        <v>295</v>
      </c>
      <c r="C50" s="3">
        <v>134</v>
      </c>
      <c r="D50" s="3">
        <v>429</v>
      </c>
    </row>
    <row r="51" spans="1:4" ht="15" customHeight="1" x14ac:dyDescent="0.25">
      <c r="A51" s="4" t="s">
        <v>53</v>
      </c>
      <c r="B51" s="4">
        <v>875</v>
      </c>
      <c r="C51" s="4">
        <v>695</v>
      </c>
      <c r="D51" s="4">
        <v>1570</v>
      </c>
    </row>
    <row r="52" spans="1:4" ht="15" customHeight="1" x14ac:dyDescent="0.25">
      <c r="A52" s="3" t="s">
        <v>54</v>
      </c>
      <c r="B52" s="3">
        <v>79</v>
      </c>
      <c r="C52" s="3">
        <v>64</v>
      </c>
      <c r="D52" s="3">
        <v>143</v>
      </c>
    </row>
    <row r="53" spans="1:4" ht="15" customHeight="1" x14ac:dyDescent="0.25">
      <c r="A53" s="4" t="s">
        <v>55</v>
      </c>
      <c r="B53" s="4">
        <v>180</v>
      </c>
      <c r="C53" s="4">
        <v>29</v>
      </c>
      <c r="D53" s="4">
        <v>209</v>
      </c>
    </row>
    <row r="54" spans="1:4" ht="15" customHeight="1" x14ac:dyDescent="0.25">
      <c r="A54" s="3" t="s">
        <v>56</v>
      </c>
      <c r="B54" s="3">
        <v>314</v>
      </c>
      <c r="C54" s="3">
        <v>318</v>
      </c>
      <c r="D54" s="3">
        <v>632</v>
      </c>
    </row>
    <row r="55" spans="1:4" ht="15" customHeight="1" x14ac:dyDescent="0.25">
      <c r="A55" s="6" t="s">
        <v>58</v>
      </c>
      <c r="B55" s="6">
        <f>SUM(B12,B13,B14,B15)</f>
        <v>1021</v>
      </c>
      <c r="C55" s="6">
        <f t="shared" ref="C55:D55" si="0">SUM(C12,C13,C14,C15)</f>
        <v>272</v>
      </c>
      <c r="D55" s="6">
        <f t="shared" si="0"/>
        <v>1293</v>
      </c>
    </row>
    <row r="56" spans="1:4" ht="15" customHeight="1" x14ac:dyDescent="0.25">
      <c r="A56" s="8" t="s">
        <v>57</v>
      </c>
      <c r="B56" s="8">
        <f>SUM(B40,B41,B42,B43)</f>
        <v>3011</v>
      </c>
      <c r="C56" s="8">
        <f t="shared" ref="C56:D56" si="1">SUM(C40,C41,C42,C43)</f>
        <v>118</v>
      </c>
      <c r="D56" s="8">
        <f t="shared" si="1"/>
        <v>3129</v>
      </c>
    </row>
  </sheetData>
  <autoFilter ref="A1:D56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f>SUM(January:December!B2)</f>
        <v>4222</v>
      </c>
      <c r="C2" s="3">
        <f>SUM(January:December!C2)</f>
        <v>1441</v>
      </c>
      <c r="D2" s="3">
        <f>SUM(January:December!D2)</f>
        <v>5663</v>
      </c>
    </row>
    <row r="3" spans="1:4" ht="15" customHeight="1" x14ac:dyDescent="0.25">
      <c r="A3" s="4" t="s">
        <v>5</v>
      </c>
      <c r="B3" s="4">
        <f>SUM(January:December!B3)</f>
        <v>2584</v>
      </c>
      <c r="C3" s="4">
        <f>SUM(January:December!C3)</f>
        <v>671</v>
      </c>
      <c r="D3" s="4">
        <f>SUM(January:December!D3)</f>
        <v>3255</v>
      </c>
    </row>
    <row r="4" spans="1:4" ht="15" customHeight="1" x14ac:dyDescent="0.25">
      <c r="A4" s="3" t="s">
        <v>6</v>
      </c>
      <c r="B4" s="3">
        <f>SUM(January:December!B4)</f>
        <v>7786</v>
      </c>
      <c r="C4" s="3">
        <f>SUM(January:December!C4)</f>
        <v>1369</v>
      </c>
      <c r="D4" s="3">
        <f>SUM(January:December!D4)</f>
        <v>9155</v>
      </c>
    </row>
    <row r="5" spans="1:4" ht="15" customHeight="1" x14ac:dyDescent="0.25">
      <c r="A5" s="4" t="s">
        <v>7</v>
      </c>
      <c r="B5" s="4">
        <f>SUM(January:December!B5)</f>
        <v>61</v>
      </c>
      <c r="C5" s="4">
        <f>SUM(January:December!C5)</f>
        <v>28</v>
      </c>
      <c r="D5" s="4">
        <f>SUM(January:December!D5)</f>
        <v>89</v>
      </c>
    </row>
    <row r="6" spans="1:4" ht="15" customHeight="1" x14ac:dyDescent="0.25">
      <c r="A6" s="3" t="s">
        <v>8</v>
      </c>
      <c r="B6" s="3">
        <f>SUM(January:December!B6)</f>
        <v>5110</v>
      </c>
      <c r="C6" s="3">
        <f>SUM(January:December!C6)</f>
        <v>1162</v>
      </c>
      <c r="D6" s="3">
        <f>SUM(January:December!D6)</f>
        <v>6272</v>
      </c>
    </row>
    <row r="7" spans="1:4" ht="15" customHeight="1" x14ac:dyDescent="0.25">
      <c r="A7" s="4" t="s">
        <v>9</v>
      </c>
      <c r="B7" s="4">
        <f>SUM(January:December!B7)</f>
        <v>845</v>
      </c>
      <c r="C7" s="4">
        <f>SUM(January:December!C7)</f>
        <v>217</v>
      </c>
      <c r="D7" s="4">
        <f>SUM(January:December!D7)</f>
        <v>1062</v>
      </c>
    </row>
    <row r="8" spans="1:4" ht="15" customHeight="1" x14ac:dyDescent="0.25">
      <c r="A8" s="3" t="s">
        <v>10</v>
      </c>
      <c r="B8" s="3">
        <f>SUM(January:December!B8)</f>
        <v>374</v>
      </c>
      <c r="C8" s="3">
        <f>SUM(January:December!C8)</f>
        <v>111</v>
      </c>
      <c r="D8" s="3">
        <f>SUM(January:December!D8)</f>
        <v>485</v>
      </c>
    </row>
    <row r="9" spans="1:4" ht="15" customHeight="1" x14ac:dyDescent="0.25">
      <c r="A9" s="4" t="s">
        <v>11</v>
      </c>
      <c r="B9" s="4">
        <f>SUM(January:December!B9)</f>
        <v>178</v>
      </c>
      <c r="C9" s="4">
        <f>SUM(January:December!C9)</f>
        <v>73</v>
      </c>
      <c r="D9" s="4">
        <f>SUM(January:December!D9)</f>
        <v>251</v>
      </c>
    </row>
    <row r="10" spans="1:4" ht="15" customHeight="1" x14ac:dyDescent="0.25">
      <c r="A10" s="3" t="s">
        <v>12</v>
      </c>
      <c r="B10" s="3">
        <f>SUM(January:December!B10)</f>
        <v>53</v>
      </c>
      <c r="C10" s="3">
        <f>SUM(January:December!C10)</f>
        <v>0</v>
      </c>
      <c r="D10" s="3">
        <f>SUM(January:December!D10)</f>
        <v>53</v>
      </c>
    </row>
    <row r="11" spans="1:4" ht="15" customHeight="1" x14ac:dyDescent="0.25">
      <c r="A11" s="4" t="s">
        <v>13</v>
      </c>
      <c r="B11" s="4">
        <f>SUM(January:December!B11)</f>
        <v>0</v>
      </c>
      <c r="C11" s="4">
        <f>SUM(January:December!C11)</f>
        <v>0</v>
      </c>
      <c r="D11" s="4">
        <f>SUM(January:December!D11)</f>
        <v>0</v>
      </c>
    </row>
    <row r="12" spans="1:4" ht="15" customHeight="1" x14ac:dyDescent="0.25">
      <c r="A12" s="5" t="s">
        <v>14</v>
      </c>
      <c r="B12" s="5">
        <f>SUM(January:December!B12)</f>
        <v>21</v>
      </c>
      <c r="C12" s="5">
        <f>SUM(January:December!C12)</f>
        <v>7</v>
      </c>
      <c r="D12" s="5">
        <f>SUM(January:December!D12)</f>
        <v>28</v>
      </c>
    </row>
    <row r="13" spans="1:4" ht="15" customHeight="1" x14ac:dyDescent="0.25">
      <c r="A13" s="6" t="s">
        <v>15</v>
      </c>
      <c r="B13" s="6">
        <f>SUM(January:December!B13)</f>
        <v>108</v>
      </c>
      <c r="C13" s="6">
        <f>SUM(January:December!C13)</f>
        <v>42</v>
      </c>
      <c r="D13" s="6">
        <f>SUM(January:December!D13)</f>
        <v>150</v>
      </c>
    </row>
    <row r="14" spans="1:4" ht="15" customHeight="1" x14ac:dyDescent="0.25">
      <c r="A14" s="5" t="s">
        <v>16</v>
      </c>
      <c r="B14" s="5">
        <f>SUM(January:December!B14)</f>
        <v>577</v>
      </c>
      <c r="C14" s="5">
        <f>SUM(January:December!C14)</f>
        <v>168</v>
      </c>
      <c r="D14" s="5">
        <f>SUM(January:December!D14)</f>
        <v>745</v>
      </c>
    </row>
    <row r="15" spans="1:4" ht="15" customHeight="1" x14ac:dyDescent="0.25">
      <c r="A15" s="6" t="s">
        <v>17</v>
      </c>
      <c r="B15" s="6">
        <f>SUM(January:December!B15)</f>
        <v>315</v>
      </c>
      <c r="C15" s="6">
        <f>SUM(January:December!C15)</f>
        <v>55</v>
      </c>
      <c r="D15" s="6">
        <f>SUM(January:December!D15)</f>
        <v>370</v>
      </c>
    </row>
    <row r="16" spans="1:4" ht="15" customHeight="1" x14ac:dyDescent="0.25">
      <c r="A16" s="3" t="s">
        <v>18</v>
      </c>
      <c r="B16" s="3">
        <f>SUM(January:December!B16)</f>
        <v>172</v>
      </c>
      <c r="C16" s="3">
        <f>SUM(January:December!C16)</f>
        <v>74</v>
      </c>
      <c r="D16" s="3">
        <f>SUM(January:December!D16)</f>
        <v>246</v>
      </c>
    </row>
    <row r="17" spans="1:4" ht="15" customHeight="1" x14ac:dyDescent="0.25">
      <c r="A17" s="4" t="s">
        <v>19</v>
      </c>
      <c r="B17" s="4">
        <f>SUM(January:December!B17)</f>
        <v>1204</v>
      </c>
      <c r="C17" s="4">
        <f>SUM(January:December!C17)</f>
        <v>694</v>
      </c>
      <c r="D17" s="4">
        <f>SUM(January:December!D17)</f>
        <v>1898</v>
      </c>
    </row>
    <row r="18" spans="1:4" ht="15" customHeight="1" x14ac:dyDescent="0.25">
      <c r="A18" s="3" t="s">
        <v>20</v>
      </c>
      <c r="B18" s="3">
        <f>SUM(January:December!B18)</f>
        <v>90</v>
      </c>
      <c r="C18" s="3">
        <f>SUM(January:December!C18)</f>
        <v>89</v>
      </c>
      <c r="D18" s="3">
        <f>SUM(January:December!D18)</f>
        <v>179</v>
      </c>
    </row>
    <row r="19" spans="1:4" ht="15" customHeight="1" x14ac:dyDescent="0.25">
      <c r="A19" s="4" t="s">
        <v>21</v>
      </c>
      <c r="B19" s="4">
        <f>SUM(January:December!B19)</f>
        <v>1547</v>
      </c>
      <c r="C19" s="4">
        <f>SUM(January:December!C19)</f>
        <v>485</v>
      </c>
      <c r="D19" s="4">
        <f>SUM(January:December!D19)</f>
        <v>2032</v>
      </c>
    </row>
    <row r="20" spans="1:4" ht="15" customHeight="1" x14ac:dyDescent="0.25">
      <c r="A20" s="3" t="s">
        <v>22</v>
      </c>
      <c r="B20" s="3">
        <f>SUM(January:December!B20)</f>
        <v>24</v>
      </c>
      <c r="C20" s="3">
        <f>SUM(January:December!C20)</f>
        <v>3</v>
      </c>
      <c r="D20" s="3">
        <f>SUM(January:December!D20)</f>
        <v>27</v>
      </c>
    </row>
    <row r="21" spans="1:4" ht="15" customHeight="1" x14ac:dyDescent="0.25">
      <c r="A21" s="4" t="s">
        <v>23</v>
      </c>
      <c r="B21" s="4">
        <f>SUM(January:December!B21)</f>
        <v>1517</v>
      </c>
      <c r="C21" s="4">
        <f>SUM(January:December!C21)</f>
        <v>501</v>
      </c>
      <c r="D21" s="4">
        <f>SUM(January:December!D21)</f>
        <v>2018</v>
      </c>
    </row>
    <row r="22" spans="1:4" ht="15" customHeight="1" x14ac:dyDescent="0.25">
      <c r="A22" s="3" t="s">
        <v>24</v>
      </c>
      <c r="B22" s="3">
        <f>SUM(January:December!B22)</f>
        <v>223</v>
      </c>
      <c r="C22" s="3">
        <f>SUM(January:December!C22)</f>
        <v>90</v>
      </c>
      <c r="D22" s="3">
        <f>SUM(January:December!D22)</f>
        <v>313</v>
      </c>
    </row>
    <row r="23" spans="1:4" ht="15" customHeight="1" x14ac:dyDescent="0.25">
      <c r="A23" s="4" t="s">
        <v>25</v>
      </c>
      <c r="B23" s="4">
        <f>SUM(January:December!B23)</f>
        <v>1917</v>
      </c>
      <c r="C23" s="4">
        <f>SUM(January:December!C23)</f>
        <v>613</v>
      </c>
      <c r="D23" s="4">
        <f>SUM(January:December!D23)</f>
        <v>2530</v>
      </c>
    </row>
    <row r="24" spans="1:4" ht="15" customHeight="1" x14ac:dyDescent="0.25">
      <c r="A24" s="3" t="s">
        <v>26</v>
      </c>
      <c r="B24" s="3">
        <f>SUM(January:December!B24)</f>
        <v>9496</v>
      </c>
      <c r="C24" s="3">
        <f>SUM(January:December!C24)</f>
        <v>1809</v>
      </c>
      <c r="D24" s="3">
        <f>SUM(January:December!D24)</f>
        <v>11305</v>
      </c>
    </row>
    <row r="25" spans="1:4" ht="15" customHeight="1" x14ac:dyDescent="0.25">
      <c r="A25" s="4" t="s">
        <v>27</v>
      </c>
      <c r="B25" s="4">
        <f>SUM(January:December!B25)</f>
        <v>406</v>
      </c>
      <c r="C25" s="4">
        <f>SUM(January:December!C25)</f>
        <v>172</v>
      </c>
      <c r="D25" s="4">
        <f>SUM(January:December!D25)</f>
        <v>578</v>
      </c>
    </row>
    <row r="26" spans="1:4" ht="15" customHeight="1" x14ac:dyDescent="0.25">
      <c r="A26" s="3" t="s">
        <v>28</v>
      </c>
      <c r="B26" s="3">
        <f>SUM(January:December!B26)</f>
        <v>0</v>
      </c>
      <c r="C26" s="3">
        <f>SUM(January:December!C26)</f>
        <v>0</v>
      </c>
      <c r="D26" s="3">
        <f>SUM(January:December!D26)</f>
        <v>0</v>
      </c>
    </row>
    <row r="27" spans="1:4" ht="15" customHeight="1" x14ac:dyDescent="0.25">
      <c r="A27" s="4" t="s">
        <v>29</v>
      </c>
      <c r="B27" s="4">
        <f>SUM(January:December!B27)</f>
        <v>410</v>
      </c>
      <c r="C27" s="4">
        <f>SUM(January:December!C27)</f>
        <v>231</v>
      </c>
      <c r="D27" s="4">
        <f>SUM(January:December!D27)</f>
        <v>641</v>
      </c>
    </row>
    <row r="28" spans="1:4" ht="15" customHeight="1" x14ac:dyDescent="0.25">
      <c r="A28" s="3" t="s">
        <v>30</v>
      </c>
      <c r="B28" s="3">
        <f>SUM(January:December!B28)</f>
        <v>327</v>
      </c>
      <c r="C28" s="3">
        <f>SUM(January:December!C28)</f>
        <v>132</v>
      </c>
      <c r="D28" s="3">
        <f>SUM(January:December!D28)</f>
        <v>459</v>
      </c>
    </row>
    <row r="29" spans="1:4" ht="15" customHeight="1" x14ac:dyDescent="0.25">
      <c r="A29" s="4" t="s">
        <v>31</v>
      </c>
      <c r="B29" s="4">
        <f>SUM(January:December!B29)</f>
        <v>1689</v>
      </c>
      <c r="C29" s="4">
        <f>SUM(January:December!C29)</f>
        <v>891</v>
      </c>
      <c r="D29" s="4">
        <f>SUM(January:December!D29)</f>
        <v>2580</v>
      </c>
    </row>
    <row r="30" spans="1:4" ht="15" customHeight="1" x14ac:dyDescent="0.25">
      <c r="A30" s="3" t="s">
        <v>32</v>
      </c>
      <c r="B30" s="3">
        <f>SUM(January:December!B30)</f>
        <v>13</v>
      </c>
      <c r="C30" s="3">
        <f>SUM(January:December!C30)</f>
        <v>24</v>
      </c>
      <c r="D30" s="3">
        <f>SUM(January:December!D30)</f>
        <v>37</v>
      </c>
    </row>
    <row r="31" spans="1:4" ht="15" customHeight="1" x14ac:dyDescent="0.25">
      <c r="A31" s="4" t="s">
        <v>33</v>
      </c>
      <c r="B31" s="4">
        <f>SUM(January:December!B31)</f>
        <v>375</v>
      </c>
      <c r="C31" s="4">
        <f>SUM(January:December!C31)</f>
        <v>119</v>
      </c>
      <c r="D31" s="4">
        <f>SUM(January:December!D31)</f>
        <v>494</v>
      </c>
    </row>
    <row r="32" spans="1:4" ht="15" customHeight="1" x14ac:dyDescent="0.25">
      <c r="A32" s="3" t="s">
        <v>34</v>
      </c>
      <c r="B32" s="3">
        <f>SUM(January:December!B32)</f>
        <v>1269</v>
      </c>
      <c r="C32" s="3">
        <f>SUM(January:December!C32)</f>
        <v>521</v>
      </c>
      <c r="D32" s="3">
        <f>SUM(January:December!D32)</f>
        <v>1790</v>
      </c>
    </row>
    <row r="33" spans="1:4" ht="15" customHeight="1" x14ac:dyDescent="0.25">
      <c r="A33" s="4" t="s">
        <v>35</v>
      </c>
      <c r="B33" s="4">
        <f>SUM(January:December!B33)</f>
        <v>688</v>
      </c>
      <c r="C33" s="4">
        <f>SUM(January:December!C33)</f>
        <v>373</v>
      </c>
      <c r="D33" s="4">
        <f>SUM(January:December!D33)</f>
        <v>1061</v>
      </c>
    </row>
    <row r="34" spans="1:4" ht="15" customHeight="1" x14ac:dyDescent="0.25">
      <c r="A34" s="3" t="s">
        <v>36</v>
      </c>
      <c r="B34" s="3">
        <f>SUM(January:December!B34)</f>
        <v>437</v>
      </c>
      <c r="C34" s="3">
        <f>SUM(January:December!C34)</f>
        <v>208</v>
      </c>
      <c r="D34" s="3">
        <f>SUM(January:December!D34)</f>
        <v>645</v>
      </c>
    </row>
    <row r="35" spans="1:4" ht="15" customHeight="1" x14ac:dyDescent="0.25">
      <c r="A35" s="4" t="s">
        <v>37</v>
      </c>
      <c r="B35" s="4">
        <f>SUM(January:December!B35)</f>
        <v>5970</v>
      </c>
      <c r="C35" s="4">
        <f>SUM(January:December!C35)</f>
        <v>925</v>
      </c>
      <c r="D35" s="4">
        <f>SUM(January:December!D35)</f>
        <v>6895</v>
      </c>
    </row>
    <row r="36" spans="1:4" ht="15" customHeight="1" x14ac:dyDescent="0.25">
      <c r="A36" s="3" t="s">
        <v>38</v>
      </c>
      <c r="B36" s="3">
        <f>SUM(January:December!B36)</f>
        <v>799</v>
      </c>
      <c r="C36" s="3">
        <f>SUM(January:December!C36)</f>
        <v>180</v>
      </c>
      <c r="D36" s="3">
        <f>SUM(January:December!D36)</f>
        <v>979</v>
      </c>
    </row>
    <row r="37" spans="1:4" ht="15" customHeight="1" x14ac:dyDescent="0.25">
      <c r="A37" s="4" t="s">
        <v>39</v>
      </c>
      <c r="B37" s="4">
        <f>SUM(January:December!B37)</f>
        <v>2797</v>
      </c>
      <c r="C37" s="4">
        <f>SUM(January:December!C37)</f>
        <v>493</v>
      </c>
      <c r="D37" s="4">
        <f>SUM(January:December!D37)</f>
        <v>3290</v>
      </c>
    </row>
    <row r="38" spans="1:4" ht="15" customHeight="1" x14ac:dyDescent="0.25">
      <c r="A38" s="3" t="s">
        <v>40</v>
      </c>
      <c r="B38" s="3">
        <f>SUM(January:December!B38)</f>
        <v>168</v>
      </c>
      <c r="C38" s="3">
        <f>SUM(January:December!C38)</f>
        <v>19</v>
      </c>
      <c r="D38" s="3">
        <f>SUM(January:December!D38)</f>
        <v>187</v>
      </c>
    </row>
    <row r="39" spans="1:4" ht="15" customHeight="1" x14ac:dyDescent="0.25">
      <c r="A39" s="4" t="s">
        <v>41</v>
      </c>
      <c r="B39" s="4">
        <f>SUM(January:December!B39)</f>
        <v>105</v>
      </c>
      <c r="C39" s="4">
        <f>SUM(January:December!C39)</f>
        <v>240</v>
      </c>
      <c r="D39" s="4">
        <f>SUM(January:December!D39)</f>
        <v>345</v>
      </c>
    </row>
    <row r="40" spans="1:4" ht="15" customHeight="1" x14ac:dyDescent="0.25">
      <c r="A40" s="7" t="s">
        <v>42</v>
      </c>
      <c r="B40" s="7">
        <f>SUM(January:December!B40)</f>
        <v>430</v>
      </c>
      <c r="C40" s="7">
        <f>SUM(January:December!C40)</f>
        <v>9</v>
      </c>
      <c r="D40" s="7">
        <f>SUM(January:December!D40)</f>
        <v>439</v>
      </c>
    </row>
    <row r="41" spans="1:4" ht="15" customHeight="1" x14ac:dyDescent="0.25">
      <c r="A41" s="8" t="s">
        <v>43</v>
      </c>
      <c r="B41" s="8">
        <f>SUM(January:December!B41)</f>
        <v>2240</v>
      </c>
      <c r="C41" s="8">
        <f>SUM(January:December!C41)</f>
        <v>87</v>
      </c>
      <c r="D41" s="8">
        <f>SUM(January:December!D41)</f>
        <v>2327</v>
      </c>
    </row>
    <row r="42" spans="1:4" ht="15" customHeight="1" x14ac:dyDescent="0.25">
      <c r="A42" s="7" t="s">
        <v>44</v>
      </c>
      <c r="B42" s="7">
        <f>SUM(January:December!B42)</f>
        <v>46</v>
      </c>
      <c r="C42" s="7">
        <f>SUM(January:December!C42)</f>
        <v>7</v>
      </c>
      <c r="D42" s="7">
        <f>SUM(January:December!D42)</f>
        <v>53</v>
      </c>
    </row>
    <row r="43" spans="1:4" ht="15" customHeight="1" x14ac:dyDescent="0.25">
      <c r="A43" s="8" t="s">
        <v>45</v>
      </c>
      <c r="B43" s="8">
        <f>SUM(January:December!B43)</f>
        <v>295</v>
      </c>
      <c r="C43" s="8">
        <f>SUM(January:December!C43)</f>
        <v>15</v>
      </c>
      <c r="D43" s="8">
        <f>SUM(January:December!D43)</f>
        <v>310</v>
      </c>
    </row>
    <row r="44" spans="1:4" ht="15" customHeight="1" x14ac:dyDescent="0.25">
      <c r="A44" s="3" t="s">
        <v>46</v>
      </c>
      <c r="B44" s="3">
        <f>SUM(January:December!B44)</f>
        <v>260</v>
      </c>
      <c r="C44" s="3">
        <f>SUM(January:December!C44)</f>
        <v>63</v>
      </c>
      <c r="D44" s="3">
        <f>SUM(January:December!D44)</f>
        <v>323</v>
      </c>
    </row>
    <row r="45" spans="1:4" ht="15" customHeight="1" x14ac:dyDescent="0.25">
      <c r="A45" s="4" t="s">
        <v>47</v>
      </c>
      <c r="B45" s="4">
        <f>SUM(January:December!B45)</f>
        <v>1296</v>
      </c>
      <c r="C45" s="4">
        <f>SUM(January:December!C45)</f>
        <v>598</v>
      </c>
      <c r="D45" s="4">
        <f>SUM(January:December!D45)</f>
        <v>1894</v>
      </c>
    </row>
    <row r="46" spans="1:4" ht="15" customHeight="1" x14ac:dyDescent="0.25">
      <c r="A46" s="3" t="s">
        <v>48</v>
      </c>
      <c r="B46" s="3">
        <f>SUM(January:December!B46)</f>
        <v>2449</v>
      </c>
      <c r="C46" s="3">
        <f>SUM(January:December!C46)</f>
        <v>1116</v>
      </c>
      <c r="D46" s="3">
        <f>SUM(January:December!D46)</f>
        <v>3565</v>
      </c>
    </row>
    <row r="47" spans="1:4" ht="15" customHeight="1" x14ac:dyDescent="0.25">
      <c r="A47" s="4" t="s">
        <v>49</v>
      </c>
      <c r="B47" s="4">
        <f>SUM(January:December!B47)</f>
        <v>1149</v>
      </c>
      <c r="C47" s="4">
        <f>SUM(January:December!C47)</f>
        <v>208</v>
      </c>
      <c r="D47" s="4">
        <f>SUM(January:December!D47)</f>
        <v>1357</v>
      </c>
    </row>
    <row r="48" spans="1:4" ht="15" customHeight="1" x14ac:dyDescent="0.25">
      <c r="A48" s="3" t="s">
        <v>50</v>
      </c>
      <c r="B48" s="3">
        <f>SUM(January:December!B48)</f>
        <v>486</v>
      </c>
      <c r="C48" s="3">
        <f>SUM(January:December!C48)</f>
        <v>416</v>
      </c>
      <c r="D48" s="3">
        <f>SUM(January:December!D48)</f>
        <v>902</v>
      </c>
    </row>
    <row r="49" spans="1:4" ht="15" customHeight="1" x14ac:dyDescent="0.25">
      <c r="A49" s="4" t="s">
        <v>51</v>
      </c>
      <c r="B49" s="4">
        <f>SUM(January:December!B49)</f>
        <v>3007</v>
      </c>
      <c r="C49" s="4">
        <f>SUM(January:December!C49)</f>
        <v>873</v>
      </c>
      <c r="D49" s="4">
        <f>SUM(January:December!D49)</f>
        <v>3880</v>
      </c>
    </row>
    <row r="50" spans="1:4" ht="15" customHeight="1" x14ac:dyDescent="0.25">
      <c r="A50" s="3" t="s">
        <v>52</v>
      </c>
      <c r="B50" s="3">
        <f>SUM(January:December!B50)</f>
        <v>295</v>
      </c>
      <c r="C50" s="3">
        <f>SUM(January:December!C50)</f>
        <v>134</v>
      </c>
      <c r="D50" s="3">
        <f>SUM(January:December!D50)</f>
        <v>429</v>
      </c>
    </row>
    <row r="51" spans="1:4" ht="15" customHeight="1" x14ac:dyDescent="0.25">
      <c r="A51" s="4" t="s">
        <v>53</v>
      </c>
      <c r="B51" s="4">
        <f>SUM(January:December!B51)</f>
        <v>875</v>
      </c>
      <c r="C51" s="4">
        <f>SUM(January:December!C51)</f>
        <v>695</v>
      </c>
      <c r="D51" s="4">
        <f>SUM(January:December!D51)</f>
        <v>1570</v>
      </c>
    </row>
    <row r="52" spans="1:4" ht="15" customHeight="1" x14ac:dyDescent="0.25">
      <c r="A52" s="3" t="s">
        <v>54</v>
      </c>
      <c r="B52" s="3">
        <f>SUM(January:December!B52)</f>
        <v>79</v>
      </c>
      <c r="C52" s="3">
        <f>SUM(January:December!C52)</f>
        <v>64</v>
      </c>
      <c r="D52" s="3">
        <f>SUM(January:December!D52)</f>
        <v>143</v>
      </c>
    </row>
    <row r="53" spans="1:4" ht="15" customHeight="1" x14ac:dyDescent="0.25">
      <c r="A53" s="4" t="s">
        <v>55</v>
      </c>
      <c r="B53" s="4">
        <f>SUM(January:December!B53)</f>
        <v>180</v>
      </c>
      <c r="C53" s="4">
        <f>SUM(January:December!C53)</f>
        <v>29</v>
      </c>
      <c r="D53" s="4">
        <f>SUM(January:December!D53)</f>
        <v>209</v>
      </c>
    </row>
    <row r="54" spans="1:4" ht="15" customHeight="1" x14ac:dyDescent="0.25">
      <c r="A54" s="3" t="s">
        <v>56</v>
      </c>
      <c r="B54" s="3">
        <f>SUM(January:December!B54)</f>
        <v>314</v>
      </c>
      <c r="C54" s="3">
        <f>SUM(January:December!C54)</f>
        <v>318</v>
      </c>
      <c r="D54" s="3">
        <f>SUM(January:December!D54)</f>
        <v>632</v>
      </c>
    </row>
    <row r="55" spans="1:4" ht="15" customHeight="1" x14ac:dyDescent="0.25">
      <c r="A55" s="6" t="s">
        <v>58</v>
      </c>
      <c r="B55" s="6">
        <f>SUM(B12,B13,B14,B15)</f>
        <v>1021</v>
      </c>
      <c r="C55" s="6">
        <f t="shared" ref="C55:D55" si="0">SUM(C12,C13,C14,C15)</f>
        <v>272</v>
      </c>
      <c r="D55" s="6">
        <f t="shared" si="0"/>
        <v>1293</v>
      </c>
    </row>
    <row r="56" spans="1:4" ht="15" customHeight="1" x14ac:dyDescent="0.25">
      <c r="A56" s="8" t="s">
        <v>57</v>
      </c>
      <c r="B56" s="8">
        <f>SUM(B40,B41,B42,B43)</f>
        <v>3011</v>
      </c>
      <c r="C56" s="8">
        <f t="shared" ref="C56:D56" si="1">SUM(C40,C41,C42,C43)</f>
        <v>118</v>
      </c>
      <c r="D56" s="8">
        <f t="shared" si="1"/>
        <v>3129</v>
      </c>
    </row>
  </sheetData>
  <autoFilter ref="A1:D56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2026-02-06T20:26:11Z</dcterms:created>
  <dcterms:modified xsi:type="dcterms:W3CDTF">2026-02-06T22:57:27Z</dcterms:modified>
</cp:coreProperties>
</file>