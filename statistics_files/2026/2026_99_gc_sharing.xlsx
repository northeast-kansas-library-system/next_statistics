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0C806A9E-4B82-410E-A592-9D9B68FACFCE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ly total" sheetId="13" r:id="rId13"/>
  </sheets>
  <definedNames>
    <definedName name="_xlnm._FilterDatabase" localSheetId="3" hidden="1">April!$A$1:$D$56</definedName>
    <definedName name="_xlnm._FilterDatabase" localSheetId="7" hidden="1">August!$A$1:$D$56</definedName>
    <definedName name="_xlnm._FilterDatabase" localSheetId="11" hidden="1">December!$A$1:$D$56</definedName>
    <definedName name="_xlnm._FilterDatabase" localSheetId="1" hidden="1">February!$A$1:$D$56</definedName>
    <definedName name="_xlnm._FilterDatabase" localSheetId="0" hidden="1">January!$A$1:$D$56</definedName>
    <definedName name="_xlnm._FilterDatabase" localSheetId="6" hidden="1">July!$A$1:$D$56</definedName>
    <definedName name="_xlnm._FilterDatabase" localSheetId="5" hidden="1">June!$A$1:$D$56</definedName>
    <definedName name="_xlnm._FilterDatabase" localSheetId="2" hidden="1">March!$A$1:$D$56</definedName>
    <definedName name="_xlnm._FilterDatabase" localSheetId="4" hidden="1">May!$A$1:$D$56</definedName>
    <definedName name="_xlnm._FilterDatabase" localSheetId="10" hidden="1">November!$A$1:$D$56</definedName>
    <definedName name="_xlnm._FilterDatabase" localSheetId="9" hidden="1">October!$A$1:$D$56</definedName>
    <definedName name="_xlnm._FilterDatabase" localSheetId="8" hidden="1">September!$A$1:$D$56</definedName>
    <definedName name="_xlnm._FilterDatabase" localSheetId="12" hidden="1">'Yearly total'!$A$1:$D$56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3" l="1"/>
  <c r="C54" i="13"/>
  <c r="B54" i="13"/>
  <c r="D53" i="13"/>
  <c r="C53" i="13"/>
  <c r="B53" i="13"/>
  <c r="D52" i="13"/>
  <c r="C52" i="13"/>
  <c r="B52" i="13"/>
  <c r="D51" i="13"/>
  <c r="C51" i="13"/>
  <c r="B51" i="13"/>
  <c r="D50" i="13"/>
  <c r="C50" i="13"/>
  <c r="B50" i="13"/>
  <c r="D49" i="13"/>
  <c r="C49" i="13"/>
  <c r="B49" i="13"/>
  <c r="D48" i="13"/>
  <c r="C48" i="13"/>
  <c r="B48" i="13"/>
  <c r="D47" i="13"/>
  <c r="C47" i="13"/>
  <c r="B47" i="13"/>
  <c r="D46" i="13"/>
  <c r="C46" i="13"/>
  <c r="B46" i="13"/>
  <c r="D45" i="13"/>
  <c r="C45" i="13"/>
  <c r="B45" i="13"/>
  <c r="D44" i="13"/>
  <c r="C44" i="13"/>
  <c r="B44" i="13"/>
  <c r="D43" i="13"/>
  <c r="C43" i="13"/>
  <c r="B43" i="13"/>
  <c r="D42" i="13"/>
  <c r="C42" i="13"/>
  <c r="B42" i="13"/>
  <c r="D41" i="13"/>
  <c r="C41" i="13"/>
  <c r="B41" i="13"/>
  <c r="D40" i="13"/>
  <c r="C40" i="13"/>
  <c r="B40" i="13"/>
  <c r="D39" i="13"/>
  <c r="C39" i="13"/>
  <c r="B39" i="13"/>
  <c r="D38" i="13"/>
  <c r="C38" i="13"/>
  <c r="B38" i="13"/>
  <c r="D37" i="13"/>
  <c r="C37" i="13"/>
  <c r="B37" i="13"/>
  <c r="D36" i="13"/>
  <c r="C36" i="13"/>
  <c r="B36" i="13"/>
  <c r="D35" i="13"/>
  <c r="C35" i="13"/>
  <c r="B35" i="13"/>
  <c r="D34" i="13"/>
  <c r="C34" i="13"/>
  <c r="B34" i="13"/>
  <c r="D33" i="13"/>
  <c r="C33" i="13"/>
  <c r="B33" i="13"/>
  <c r="D32" i="13"/>
  <c r="C32" i="13"/>
  <c r="B32" i="13"/>
  <c r="D31" i="13"/>
  <c r="C31" i="13"/>
  <c r="B31" i="13"/>
  <c r="D30" i="13"/>
  <c r="C30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D55" i="13" s="1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D2" i="13"/>
  <c r="C2" i="13"/>
  <c r="B2" i="13"/>
  <c r="D56" i="12"/>
  <c r="C56" i="12"/>
  <c r="B56" i="12"/>
  <c r="D55" i="12"/>
  <c r="C55" i="12"/>
  <c r="B55" i="12"/>
  <c r="D56" i="11"/>
  <c r="C56" i="11"/>
  <c r="B56" i="11"/>
  <c r="D55" i="11"/>
  <c r="C55" i="11"/>
  <c r="B55" i="11"/>
  <c r="D56" i="10"/>
  <c r="C56" i="10"/>
  <c r="B56" i="10"/>
  <c r="D55" i="10"/>
  <c r="C55" i="10"/>
  <c r="B55" i="10"/>
  <c r="D56" i="9"/>
  <c r="C56" i="9"/>
  <c r="B56" i="9"/>
  <c r="D55" i="9"/>
  <c r="C55" i="9"/>
  <c r="B55" i="9"/>
  <c r="D56" i="8"/>
  <c r="C56" i="8"/>
  <c r="B56" i="8"/>
  <c r="D55" i="8"/>
  <c r="C55" i="8"/>
  <c r="B55" i="8"/>
  <c r="D56" i="7"/>
  <c r="C56" i="7"/>
  <c r="B56" i="7"/>
  <c r="D55" i="7"/>
  <c r="C55" i="7"/>
  <c r="B55" i="7"/>
  <c r="D56" i="6"/>
  <c r="C56" i="6"/>
  <c r="B56" i="6"/>
  <c r="D55" i="6"/>
  <c r="C55" i="6"/>
  <c r="B55" i="6"/>
  <c r="D56" i="5"/>
  <c r="C56" i="5"/>
  <c r="B56" i="5"/>
  <c r="D55" i="5"/>
  <c r="C55" i="5"/>
  <c r="B55" i="5"/>
  <c r="D56" i="4"/>
  <c r="C56" i="4"/>
  <c r="B56" i="4"/>
  <c r="D55" i="4"/>
  <c r="C55" i="4"/>
  <c r="B55" i="4"/>
  <c r="D56" i="3"/>
  <c r="C56" i="3"/>
  <c r="B56" i="3"/>
  <c r="D55" i="3"/>
  <c r="C55" i="3"/>
  <c r="B55" i="3"/>
  <c r="D56" i="2"/>
  <c r="C56" i="2"/>
  <c r="B56" i="2"/>
  <c r="D55" i="2"/>
  <c r="C55" i="2"/>
  <c r="B55" i="2"/>
  <c r="D56" i="1"/>
  <c r="C56" i="1"/>
  <c r="B56" i="1"/>
  <c r="D55" i="1"/>
  <c r="C55" i="1"/>
  <c r="B55" i="1"/>
  <c r="D56" i="13" l="1"/>
  <c r="C56" i="13"/>
  <c r="C55" i="13"/>
  <c r="B56" i="13"/>
  <c r="B55" i="13"/>
</calcChain>
</file>

<file path=xl/sharedStrings.xml><?xml version="1.0" encoding="utf-8"?>
<sst xmlns="http://schemas.openxmlformats.org/spreadsheetml/2006/main" count="767" uniqueCount="59">
  <si>
    <t>Library</t>
  </si>
  <si>
    <t>Items owned by this library checked out at this library this month</t>
  </si>
  <si>
    <t>Items owned by other libraries checked out at this library this month</t>
  </si>
  <si>
    <t>Total circulation this month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</si>
  <si>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</si>
  <si>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</si>
  <si>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</si>
  <si>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</si>
  <si>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</si>
  <si>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</si>
  <si>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</si>
  <si>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</si>
  <si>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</si>
  <si>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</si>
  <si>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</si>
  <si>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</si>
  <si>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</si>
  <si>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</si>
  <si>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</si>
  <si>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</si>
  <si>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</si>
  <si>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</si>
  <si>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</si>
  <si>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</si>
  <si>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</si>
  <si>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</si>
  <si>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</si>
  <si>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</si>
  <si>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</si>
  <si>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</si>
  <si>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</si>
  <si>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</si>
  <si>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</si>
  <si>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</si>
  <si>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</si>
  <si>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</si>
  <si>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</si>
  <si>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</si>
  <si>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</si>
  <si>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</si>
  <si>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</si>
  <si>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</si>
  <si>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</si>
  <si>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</si>
  <si>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</si>
  <si>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</si>
  <si>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</si>
  <si>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</si>
  <si>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</si>
  <si>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</si>
  <si>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</si>
  <si>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</si>
  <si>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</si>
  <si>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</si>
  <si>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</si>
  <si>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</si>
  <si>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</si>
  <si>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Prairie Hills Schools - total</t>
  </si>
  <si>
    <t>Doniphan County Library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</si>
</sst>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33" borderId="10" xfId="0" applyFill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0" fontId="0" fillId="36" borderId="10" xfId="0" applyFill="1" applyBorder="1" applyAlignment="1">
      <alignment horizontal="right" vertical="center" wrapText="1"/>
    </xf>
    <xf numFmtId="0" fontId="0" fillId="37" borderId="10" xfId="0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4222</v>
      </c>
      <c r="C2" s="3">
        <v>1441</v>
      </c>
      <c r="D2" s="3">
        <v>5663</v>
      </c>
    </row>
    <row r="3" spans="1:4" ht="15" customHeight="1" x14ac:dyDescent="0.3">
      <c r="A3" s="4" t="s">
        <v>5</v>
      </c>
      <c r="B3" s="4">
        <v>2584</v>
      </c>
      <c r="C3" s="4">
        <v>671</v>
      </c>
      <c r="D3" s="4">
        <v>3255</v>
      </c>
    </row>
    <row r="4" spans="1:4" ht="15" customHeight="1" x14ac:dyDescent="0.3">
      <c r="A4" s="3" t="s">
        <v>6</v>
      </c>
      <c r="B4" s="3">
        <v>7786</v>
      </c>
      <c r="C4" s="3">
        <v>1369</v>
      </c>
      <c r="D4" s="3">
        <v>9155</v>
      </c>
    </row>
    <row r="5" spans="1:4" ht="15" customHeight="1" x14ac:dyDescent="0.3">
      <c r="A5" s="4" t="s">
        <v>7</v>
      </c>
      <c r="B5" s="4">
        <v>61</v>
      </c>
      <c r="C5" s="4">
        <v>28</v>
      </c>
      <c r="D5" s="4">
        <v>89</v>
      </c>
    </row>
    <row r="6" spans="1:4" ht="15" customHeight="1" x14ac:dyDescent="0.3">
      <c r="A6" s="3" t="s">
        <v>8</v>
      </c>
      <c r="B6" s="3">
        <v>5110</v>
      </c>
      <c r="C6" s="3">
        <v>1162</v>
      </c>
      <c r="D6" s="3">
        <v>6272</v>
      </c>
    </row>
    <row r="7" spans="1:4" ht="15" customHeight="1" x14ac:dyDescent="0.3">
      <c r="A7" s="4" t="s">
        <v>9</v>
      </c>
      <c r="B7" s="4">
        <v>845</v>
      </c>
      <c r="C7" s="4">
        <v>217</v>
      </c>
      <c r="D7" s="4">
        <v>1062</v>
      </c>
    </row>
    <row r="8" spans="1:4" ht="15" customHeight="1" x14ac:dyDescent="0.3">
      <c r="A8" s="3" t="s">
        <v>10</v>
      </c>
      <c r="B8" s="3">
        <v>374</v>
      </c>
      <c r="C8" s="3">
        <v>111</v>
      </c>
      <c r="D8" s="3">
        <v>485</v>
      </c>
    </row>
    <row r="9" spans="1:4" ht="15" customHeight="1" x14ac:dyDescent="0.3">
      <c r="A9" s="4" t="s">
        <v>11</v>
      </c>
      <c r="B9" s="4">
        <v>178</v>
      </c>
      <c r="C9" s="4">
        <v>73</v>
      </c>
      <c r="D9" s="4">
        <v>251</v>
      </c>
    </row>
    <row r="10" spans="1:4" ht="15" customHeight="1" x14ac:dyDescent="0.3">
      <c r="A10" s="3" t="s">
        <v>12</v>
      </c>
      <c r="B10" s="3">
        <v>53</v>
      </c>
      <c r="C10" s="3"/>
      <c r="D10" s="3">
        <v>53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21</v>
      </c>
      <c r="C12" s="5">
        <v>7</v>
      </c>
      <c r="D12" s="5">
        <v>28</v>
      </c>
    </row>
    <row r="13" spans="1:4" ht="15" customHeight="1" x14ac:dyDescent="0.3">
      <c r="A13" s="6" t="s">
        <v>15</v>
      </c>
      <c r="B13" s="6">
        <v>108</v>
      </c>
      <c r="C13" s="6">
        <v>42</v>
      </c>
      <c r="D13" s="6">
        <v>150</v>
      </c>
    </row>
    <row r="14" spans="1:4" ht="15" customHeight="1" x14ac:dyDescent="0.3">
      <c r="A14" s="5" t="s">
        <v>16</v>
      </c>
      <c r="B14" s="5">
        <v>577</v>
      </c>
      <c r="C14" s="5">
        <v>168</v>
      </c>
      <c r="D14" s="5">
        <v>745</v>
      </c>
    </row>
    <row r="15" spans="1:4" ht="15" customHeight="1" x14ac:dyDescent="0.3">
      <c r="A15" s="6" t="s">
        <v>17</v>
      </c>
      <c r="B15" s="6">
        <v>315</v>
      </c>
      <c r="C15" s="6">
        <v>55</v>
      </c>
      <c r="D15" s="6">
        <v>370</v>
      </c>
    </row>
    <row r="16" spans="1:4" ht="15" customHeight="1" x14ac:dyDescent="0.3">
      <c r="A16" s="3" t="s">
        <v>18</v>
      </c>
      <c r="B16" s="3">
        <v>172</v>
      </c>
      <c r="C16" s="3">
        <v>74</v>
      </c>
      <c r="D16" s="3">
        <v>246</v>
      </c>
    </row>
    <row r="17" spans="1:4" ht="15" customHeight="1" x14ac:dyDescent="0.3">
      <c r="A17" s="4" t="s">
        <v>19</v>
      </c>
      <c r="B17" s="4">
        <v>1204</v>
      </c>
      <c r="C17" s="4">
        <v>694</v>
      </c>
      <c r="D17" s="4">
        <v>1898</v>
      </c>
    </row>
    <row r="18" spans="1:4" ht="15" customHeight="1" x14ac:dyDescent="0.3">
      <c r="A18" s="3" t="s">
        <v>20</v>
      </c>
      <c r="B18" s="3">
        <v>90</v>
      </c>
      <c r="C18" s="3">
        <v>89</v>
      </c>
      <c r="D18" s="3">
        <v>179</v>
      </c>
    </row>
    <row r="19" spans="1:4" ht="15" customHeight="1" x14ac:dyDescent="0.3">
      <c r="A19" s="4" t="s">
        <v>21</v>
      </c>
      <c r="B19" s="4">
        <v>1547</v>
      </c>
      <c r="C19" s="4">
        <v>485</v>
      </c>
      <c r="D19" s="4">
        <v>2032</v>
      </c>
    </row>
    <row r="20" spans="1:4" ht="15" customHeight="1" x14ac:dyDescent="0.3">
      <c r="A20" s="3" t="s">
        <v>22</v>
      </c>
      <c r="B20" s="3">
        <v>24</v>
      </c>
      <c r="C20" s="3">
        <v>3</v>
      </c>
      <c r="D20" s="3">
        <v>27</v>
      </c>
    </row>
    <row r="21" spans="1:4" ht="15" customHeight="1" x14ac:dyDescent="0.3">
      <c r="A21" s="4" t="s">
        <v>23</v>
      </c>
      <c r="B21" s="4">
        <v>1517</v>
      </c>
      <c r="C21" s="4">
        <v>501</v>
      </c>
      <c r="D21" s="4">
        <v>2018</v>
      </c>
    </row>
    <row r="22" spans="1:4" ht="15" customHeight="1" x14ac:dyDescent="0.3">
      <c r="A22" s="3" t="s">
        <v>24</v>
      </c>
      <c r="B22" s="3">
        <v>223</v>
      </c>
      <c r="C22" s="3">
        <v>90</v>
      </c>
      <c r="D22" s="3">
        <v>313</v>
      </c>
    </row>
    <row r="23" spans="1:4" ht="15" customHeight="1" x14ac:dyDescent="0.3">
      <c r="A23" s="4" t="s">
        <v>25</v>
      </c>
      <c r="B23" s="4">
        <v>1917</v>
      </c>
      <c r="C23" s="4">
        <v>613</v>
      </c>
      <c r="D23" s="4">
        <v>2530</v>
      </c>
    </row>
    <row r="24" spans="1:4" ht="15" customHeight="1" x14ac:dyDescent="0.3">
      <c r="A24" s="3" t="s">
        <v>26</v>
      </c>
      <c r="B24" s="3">
        <v>9496</v>
      </c>
      <c r="C24" s="3">
        <v>1809</v>
      </c>
      <c r="D24" s="3">
        <v>11305</v>
      </c>
    </row>
    <row r="25" spans="1:4" ht="15" customHeight="1" x14ac:dyDescent="0.3">
      <c r="A25" s="4" t="s">
        <v>27</v>
      </c>
      <c r="B25" s="4">
        <v>406</v>
      </c>
      <c r="C25" s="4">
        <v>172</v>
      </c>
      <c r="D25" s="4">
        <v>578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410</v>
      </c>
      <c r="C27" s="4">
        <v>231</v>
      </c>
      <c r="D27" s="4">
        <v>641</v>
      </c>
    </row>
    <row r="28" spans="1:4" ht="15" customHeight="1" x14ac:dyDescent="0.3">
      <c r="A28" s="3" t="s">
        <v>30</v>
      </c>
      <c r="B28" s="3">
        <v>327</v>
      </c>
      <c r="C28" s="3">
        <v>132</v>
      </c>
      <c r="D28" s="3">
        <v>459</v>
      </c>
    </row>
    <row r="29" spans="1:4" ht="15" customHeight="1" x14ac:dyDescent="0.3">
      <c r="A29" s="4" t="s">
        <v>31</v>
      </c>
      <c r="B29" s="4">
        <v>1689</v>
      </c>
      <c r="C29" s="4">
        <v>891</v>
      </c>
      <c r="D29" s="4">
        <v>2580</v>
      </c>
    </row>
    <row r="30" spans="1:4" ht="15" customHeight="1" x14ac:dyDescent="0.3">
      <c r="A30" s="3" t="s">
        <v>32</v>
      </c>
      <c r="B30" s="3">
        <v>13</v>
      </c>
      <c r="C30" s="3">
        <v>24</v>
      </c>
      <c r="D30" s="3">
        <v>37</v>
      </c>
    </row>
    <row r="31" spans="1:4" ht="15" customHeight="1" x14ac:dyDescent="0.3">
      <c r="A31" s="4" t="s">
        <v>33</v>
      </c>
      <c r="B31" s="4">
        <v>375</v>
      </c>
      <c r="C31" s="4">
        <v>119</v>
      </c>
      <c r="D31" s="4">
        <v>494</v>
      </c>
    </row>
    <row r="32" spans="1:4" ht="15" customHeight="1" x14ac:dyDescent="0.3">
      <c r="A32" s="3" t="s">
        <v>34</v>
      </c>
      <c r="B32" s="3">
        <v>1269</v>
      </c>
      <c r="C32" s="3">
        <v>521</v>
      </c>
      <c r="D32" s="3">
        <v>1790</v>
      </c>
    </row>
    <row r="33" spans="1:4" ht="15" customHeight="1" x14ac:dyDescent="0.3">
      <c r="A33" s="4" t="s">
        <v>35</v>
      </c>
      <c r="B33" s="4">
        <v>688</v>
      </c>
      <c r="C33" s="4">
        <v>373</v>
      </c>
      <c r="D33" s="4">
        <v>1061</v>
      </c>
    </row>
    <row r="34" spans="1:4" ht="15" customHeight="1" x14ac:dyDescent="0.3">
      <c r="A34" s="3" t="s">
        <v>36</v>
      </c>
      <c r="B34" s="3">
        <v>437</v>
      </c>
      <c r="C34" s="3">
        <v>208</v>
      </c>
      <c r="D34" s="3">
        <v>645</v>
      </c>
    </row>
    <row r="35" spans="1:4" ht="15" customHeight="1" x14ac:dyDescent="0.3">
      <c r="A35" s="4" t="s">
        <v>37</v>
      </c>
      <c r="B35" s="4">
        <v>5970</v>
      </c>
      <c r="C35" s="4">
        <v>925</v>
      </c>
      <c r="D35" s="4">
        <v>6895</v>
      </c>
    </row>
    <row r="36" spans="1:4" ht="15" customHeight="1" x14ac:dyDescent="0.3">
      <c r="A36" s="3" t="s">
        <v>38</v>
      </c>
      <c r="B36" s="3">
        <v>799</v>
      </c>
      <c r="C36" s="3">
        <v>180</v>
      </c>
      <c r="D36" s="3">
        <v>979</v>
      </c>
    </row>
    <row r="37" spans="1:4" ht="15" customHeight="1" x14ac:dyDescent="0.3">
      <c r="A37" s="4" t="s">
        <v>39</v>
      </c>
      <c r="B37" s="4">
        <v>2797</v>
      </c>
      <c r="C37" s="4">
        <v>493</v>
      </c>
      <c r="D37" s="4">
        <v>3290</v>
      </c>
    </row>
    <row r="38" spans="1:4" ht="15" customHeight="1" x14ac:dyDescent="0.3">
      <c r="A38" s="3" t="s">
        <v>40</v>
      </c>
      <c r="B38" s="3">
        <v>168</v>
      </c>
      <c r="C38" s="3">
        <v>19</v>
      </c>
      <c r="D38" s="3">
        <v>187</v>
      </c>
    </row>
    <row r="39" spans="1:4" ht="15" customHeight="1" x14ac:dyDescent="0.3">
      <c r="A39" s="4" t="s">
        <v>41</v>
      </c>
      <c r="B39" s="4">
        <v>105</v>
      </c>
      <c r="C39" s="4">
        <v>240</v>
      </c>
      <c r="D39" s="4">
        <v>345</v>
      </c>
    </row>
    <row r="40" spans="1:4" ht="15" customHeight="1" x14ac:dyDescent="0.3">
      <c r="A40" s="7" t="s">
        <v>42</v>
      </c>
      <c r="B40" s="7">
        <v>430</v>
      </c>
      <c r="C40" s="7">
        <v>9</v>
      </c>
      <c r="D40" s="7">
        <v>439</v>
      </c>
    </row>
    <row r="41" spans="1:4" ht="15" customHeight="1" x14ac:dyDescent="0.3">
      <c r="A41" s="8" t="s">
        <v>43</v>
      </c>
      <c r="B41" s="8">
        <v>2240</v>
      </c>
      <c r="C41" s="8">
        <v>87</v>
      </c>
      <c r="D41" s="8">
        <v>2327</v>
      </c>
    </row>
    <row r="42" spans="1:4" ht="15" customHeight="1" x14ac:dyDescent="0.3">
      <c r="A42" s="7" t="s">
        <v>44</v>
      </c>
      <c r="B42" s="7">
        <v>46</v>
      </c>
      <c r="C42" s="7">
        <v>7</v>
      </c>
      <c r="D42" s="7">
        <v>53</v>
      </c>
    </row>
    <row r="43" spans="1:4" ht="15" customHeight="1" x14ac:dyDescent="0.3">
      <c r="A43" s="8" t="s">
        <v>45</v>
      </c>
      <c r="B43" s="8">
        <v>295</v>
      </c>
      <c r="C43" s="8">
        <v>15</v>
      </c>
      <c r="D43" s="8">
        <v>310</v>
      </c>
    </row>
    <row r="44" spans="1:4" ht="15" customHeight="1" x14ac:dyDescent="0.3">
      <c r="A44" s="3" t="s">
        <v>46</v>
      </c>
      <c r="B44" s="3">
        <v>260</v>
      </c>
      <c r="C44" s="3">
        <v>63</v>
      </c>
      <c r="D44" s="3">
        <v>323</v>
      </c>
    </row>
    <row r="45" spans="1:4" ht="15" customHeight="1" x14ac:dyDescent="0.3">
      <c r="A45" s="4" t="s">
        <v>47</v>
      </c>
      <c r="B45" s="4">
        <v>1296</v>
      </c>
      <c r="C45" s="4">
        <v>598</v>
      </c>
      <c r="D45" s="4">
        <v>1894</v>
      </c>
    </row>
    <row r="46" spans="1:4" ht="15" customHeight="1" x14ac:dyDescent="0.3">
      <c r="A46" s="3" t="s">
        <v>48</v>
      </c>
      <c r="B46" s="3">
        <v>2449</v>
      </c>
      <c r="C46" s="3">
        <v>1116</v>
      </c>
      <c r="D46" s="3">
        <v>3565</v>
      </c>
    </row>
    <row r="47" spans="1:4" ht="15" customHeight="1" x14ac:dyDescent="0.3">
      <c r="A47" s="4" t="s">
        <v>49</v>
      </c>
      <c r="B47" s="4">
        <v>1149</v>
      </c>
      <c r="C47" s="4">
        <v>208</v>
      </c>
      <c r="D47" s="4">
        <v>1357</v>
      </c>
    </row>
    <row r="48" spans="1:4" ht="15" customHeight="1" x14ac:dyDescent="0.3">
      <c r="A48" s="3" t="s">
        <v>50</v>
      </c>
      <c r="B48" s="3">
        <v>486</v>
      </c>
      <c r="C48" s="3">
        <v>416</v>
      </c>
      <c r="D48" s="3">
        <v>902</v>
      </c>
    </row>
    <row r="49" spans="1:4" ht="15" customHeight="1" x14ac:dyDescent="0.3">
      <c r="A49" s="4" t="s">
        <v>51</v>
      </c>
      <c r="B49" s="4">
        <v>3007</v>
      </c>
      <c r="C49" s="4">
        <v>873</v>
      </c>
      <c r="D49" s="4">
        <v>3880</v>
      </c>
    </row>
    <row r="50" spans="1:4" ht="15" customHeight="1" x14ac:dyDescent="0.3">
      <c r="A50" s="3" t="s">
        <v>52</v>
      </c>
      <c r="B50" s="3">
        <v>295</v>
      </c>
      <c r="C50" s="3">
        <v>134</v>
      </c>
      <c r="D50" s="3">
        <v>429</v>
      </c>
    </row>
    <row r="51" spans="1:4" ht="15" customHeight="1" x14ac:dyDescent="0.3">
      <c r="A51" s="4" t="s">
        <v>53</v>
      </c>
      <c r="B51" s="4">
        <v>875</v>
      </c>
      <c r="C51" s="4">
        <v>695</v>
      </c>
      <c r="D51" s="4">
        <v>1570</v>
      </c>
    </row>
    <row r="52" spans="1:4" ht="15" customHeight="1" x14ac:dyDescent="0.3">
      <c r="A52" s="3" t="s">
        <v>54</v>
      </c>
      <c r="B52" s="3">
        <v>79</v>
      </c>
      <c r="C52" s="3">
        <v>64</v>
      </c>
      <c r="D52" s="3">
        <v>143</v>
      </c>
    </row>
    <row r="53" spans="1:4" ht="15" customHeight="1" x14ac:dyDescent="0.3">
      <c r="A53" s="4" t="s">
        <v>55</v>
      </c>
      <c r="B53" s="4">
        <v>180</v>
      </c>
      <c r="C53" s="4">
        <v>29</v>
      </c>
      <c r="D53" s="4">
        <v>209</v>
      </c>
    </row>
    <row r="54" spans="1:4" ht="15" customHeight="1" x14ac:dyDescent="0.3">
      <c r="A54" s="3" t="s">
        <v>56</v>
      </c>
      <c r="B54" s="3">
        <v>314</v>
      </c>
      <c r="C54" s="3">
        <v>318</v>
      </c>
      <c r="D54" s="3">
        <v>632</v>
      </c>
    </row>
    <row r="55" spans="1:4" ht="15" customHeight="1" x14ac:dyDescent="0.3">
      <c r="A55" s="6" t="s">
        <v>58</v>
      </c>
      <c r="B55" s="6">
        <f>SUM(B12,B13,B14,B15)</f>
        <v>1021</v>
      </c>
      <c r="C55" s="6">
        <f t="shared" ref="C55:D55" si="0">SUM(C12,C13,C14,C15)</f>
        <v>272</v>
      </c>
      <c r="D55" s="6">
        <f t="shared" si="0"/>
        <v>1293</v>
      </c>
    </row>
    <row r="56" spans="1:4" ht="15" customHeight="1" x14ac:dyDescent="0.3">
      <c r="A56" s="8" t="s">
        <v>57</v>
      </c>
      <c r="B56" s="8">
        <f>SUM(B40,B41,B42,B43)</f>
        <v>3011</v>
      </c>
      <c r="C56" s="8">
        <f t="shared" ref="C56:D56" si="1">SUM(C40,C41,C42,C43)</f>
        <v>118</v>
      </c>
      <c r="D56" s="8">
        <f t="shared" si="1"/>
        <v>3129</v>
      </c>
    </row>
  </sheetData>
  <autoFilter ref="A1:D5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3756</v>
      </c>
      <c r="C2" s="3">
        <v>1366</v>
      </c>
      <c r="D2" s="3">
        <v>5122</v>
      </c>
    </row>
    <row r="3" spans="1:4" ht="15" customHeight="1" x14ac:dyDescent="0.3">
      <c r="A3" s="4" t="s">
        <v>5</v>
      </c>
      <c r="B3" s="4">
        <v>2394</v>
      </c>
      <c r="C3" s="4">
        <v>672</v>
      </c>
      <c r="D3" s="4">
        <v>3066</v>
      </c>
    </row>
    <row r="4" spans="1:4" ht="15" customHeight="1" x14ac:dyDescent="0.3">
      <c r="A4" s="3" t="s">
        <v>6</v>
      </c>
      <c r="B4" s="3">
        <v>6924</v>
      </c>
      <c r="C4" s="3">
        <v>1140</v>
      </c>
      <c r="D4" s="3">
        <v>8064</v>
      </c>
    </row>
    <row r="5" spans="1:4" ht="15" customHeight="1" x14ac:dyDescent="0.3">
      <c r="A5" s="4" t="s">
        <v>7</v>
      </c>
      <c r="B5" s="4">
        <v>84</v>
      </c>
      <c r="C5" s="4">
        <v>18</v>
      </c>
      <c r="D5" s="4">
        <v>102</v>
      </c>
    </row>
    <row r="6" spans="1:4" ht="15" customHeight="1" x14ac:dyDescent="0.3">
      <c r="A6" s="3" t="s">
        <v>8</v>
      </c>
      <c r="B6" s="3">
        <v>4684</v>
      </c>
      <c r="C6" s="3">
        <v>966</v>
      </c>
      <c r="D6" s="3">
        <v>5650</v>
      </c>
    </row>
    <row r="7" spans="1:4" ht="15" customHeight="1" x14ac:dyDescent="0.3">
      <c r="A7" s="4" t="s">
        <v>9</v>
      </c>
      <c r="B7" s="4">
        <v>728</v>
      </c>
      <c r="C7" s="4">
        <v>169</v>
      </c>
      <c r="D7" s="4">
        <v>897</v>
      </c>
    </row>
    <row r="8" spans="1:4" ht="15" customHeight="1" x14ac:dyDescent="0.3">
      <c r="A8" s="3" t="s">
        <v>10</v>
      </c>
      <c r="B8" s="3">
        <v>491</v>
      </c>
      <c r="C8" s="3">
        <v>107</v>
      </c>
      <c r="D8" s="3">
        <v>598</v>
      </c>
    </row>
    <row r="9" spans="1:4" ht="15" customHeight="1" x14ac:dyDescent="0.3">
      <c r="A9" s="4" t="s">
        <v>11</v>
      </c>
      <c r="B9" s="4">
        <v>158</v>
      </c>
      <c r="C9" s="4">
        <v>67</v>
      </c>
      <c r="D9" s="4">
        <v>225</v>
      </c>
    </row>
    <row r="10" spans="1:4" ht="15" customHeight="1" x14ac:dyDescent="0.3">
      <c r="A10" s="3" t="s">
        <v>12</v>
      </c>
      <c r="B10" s="3">
        <v>41</v>
      </c>
      <c r="C10" s="3">
        <v>3</v>
      </c>
      <c r="D10" s="3">
        <v>44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16</v>
      </c>
      <c r="C12" s="5">
        <v>2</v>
      </c>
      <c r="D12" s="5">
        <v>18</v>
      </c>
    </row>
    <row r="13" spans="1:4" ht="15" customHeight="1" x14ac:dyDescent="0.3">
      <c r="A13" s="6" t="s">
        <v>15</v>
      </c>
      <c r="B13" s="6">
        <v>73</v>
      </c>
      <c r="C13" s="6">
        <v>52</v>
      </c>
      <c r="D13" s="6">
        <v>125</v>
      </c>
    </row>
    <row r="14" spans="1:4" ht="15" customHeight="1" x14ac:dyDescent="0.3">
      <c r="A14" s="5" t="s">
        <v>16</v>
      </c>
      <c r="B14" s="5">
        <v>596</v>
      </c>
      <c r="C14" s="5">
        <v>126</v>
      </c>
      <c r="D14" s="5">
        <v>722</v>
      </c>
    </row>
    <row r="15" spans="1:4" ht="15" customHeight="1" x14ac:dyDescent="0.3">
      <c r="A15" s="6" t="s">
        <v>17</v>
      </c>
      <c r="B15" s="6">
        <v>180</v>
      </c>
      <c r="C15" s="6">
        <v>46</v>
      </c>
      <c r="D15" s="6">
        <v>226</v>
      </c>
    </row>
    <row r="16" spans="1:4" ht="15" customHeight="1" x14ac:dyDescent="0.3">
      <c r="A16" s="3" t="s">
        <v>18</v>
      </c>
      <c r="B16" s="3">
        <v>234</v>
      </c>
      <c r="C16" s="3">
        <v>60</v>
      </c>
      <c r="D16" s="3">
        <v>294</v>
      </c>
    </row>
    <row r="17" spans="1:4" ht="15" customHeight="1" x14ac:dyDescent="0.3">
      <c r="A17" s="4" t="s">
        <v>19</v>
      </c>
      <c r="B17" s="4">
        <v>1070</v>
      </c>
      <c r="C17" s="4">
        <v>728</v>
      </c>
      <c r="D17" s="4">
        <v>1798</v>
      </c>
    </row>
    <row r="18" spans="1:4" ht="15" customHeight="1" x14ac:dyDescent="0.3">
      <c r="A18" s="3" t="s">
        <v>20</v>
      </c>
      <c r="B18" s="3">
        <v>91</v>
      </c>
      <c r="C18" s="3">
        <v>114</v>
      </c>
      <c r="D18" s="3">
        <v>205</v>
      </c>
    </row>
    <row r="19" spans="1:4" ht="15" customHeight="1" x14ac:dyDescent="0.3">
      <c r="A19" s="4" t="s">
        <v>21</v>
      </c>
      <c r="B19" s="4">
        <v>1622</v>
      </c>
      <c r="C19" s="4">
        <v>724</v>
      </c>
      <c r="D19" s="4">
        <v>2346</v>
      </c>
    </row>
    <row r="20" spans="1:4" ht="15" customHeight="1" x14ac:dyDescent="0.3">
      <c r="A20" s="3" t="s">
        <v>22</v>
      </c>
      <c r="B20" s="3">
        <v>28</v>
      </c>
      <c r="C20" s="3">
        <v>4</v>
      </c>
      <c r="D20" s="3">
        <v>32</v>
      </c>
    </row>
    <row r="21" spans="1:4" ht="15" customHeight="1" x14ac:dyDescent="0.3">
      <c r="A21" s="4" t="s">
        <v>23</v>
      </c>
      <c r="B21" s="4">
        <v>1349</v>
      </c>
      <c r="C21" s="4">
        <v>448</v>
      </c>
      <c r="D21" s="4">
        <v>1797</v>
      </c>
    </row>
    <row r="22" spans="1:4" ht="15" customHeight="1" x14ac:dyDescent="0.3">
      <c r="A22" s="3" t="s">
        <v>24</v>
      </c>
      <c r="B22" s="3">
        <v>199</v>
      </c>
      <c r="C22" s="3">
        <v>129</v>
      </c>
      <c r="D22" s="3">
        <v>328</v>
      </c>
    </row>
    <row r="23" spans="1:4" ht="15" customHeight="1" x14ac:dyDescent="0.3">
      <c r="A23" s="4" t="s">
        <v>25</v>
      </c>
      <c r="B23" s="4">
        <v>1932</v>
      </c>
      <c r="C23" s="4">
        <v>581</v>
      </c>
      <c r="D23" s="4">
        <v>2513</v>
      </c>
    </row>
    <row r="24" spans="1:4" ht="15" customHeight="1" x14ac:dyDescent="0.3">
      <c r="A24" s="3" t="s">
        <v>26</v>
      </c>
      <c r="B24" s="3">
        <v>9089</v>
      </c>
      <c r="C24" s="3">
        <v>1901</v>
      </c>
      <c r="D24" s="3">
        <v>10990</v>
      </c>
    </row>
    <row r="25" spans="1:4" ht="15" customHeight="1" x14ac:dyDescent="0.3">
      <c r="A25" s="4" t="s">
        <v>27</v>
      </c>
      <c r="B25" s="4">
        <v>391</v>
      </c>
      <c r="C25" s="4">
        <v>174</v>
      </c>
      <c r="D25" s="4">
        <v>565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351</v>
      </c>
      <c r="C27" s="4">
        <v>172</v>
      </c>
      <c r="D27" s="4">
        <v>523</v>
      </c>
    </row>
    <row r="28" spans="1:4" ht="15" customHeight="1" x14ac:dyDescent="0.3">
      <c r="A28" s="3" t="s">
        <v>30</v>
      </c>
      <c r="B28" s="3">
        <v>316</v>
      </c>
      <c r="C28" s="3">
        <v>126</v>
      </c>
      <c r="D28" s="3">
        <v>442</v>
      </c>
    </row>
    <row r="29" spans="1:4" ht="15" customHeight="1" x14ac:dyDescent="0.3">
      <c r="A29" s="4" t="s">
        <v>31</v>
      </c>
      <c r="B29" s="4">
        <v>1506</v>
      </c>
      <c r="C29" s="4">
        <v>870</v>
      </c>
      <c r="D29" s="4">
        <v>2376</v>
      </c>
    </row>
    <row r="30" spans="1:4" ht="15" customHeight="1" x14ac:dyDescent="0.3">
      <c r="A30" s="3" t="s">
        <v>32</v>
      </c>
      <c r="B30" s="3">
        <v>21</v>
      </c>
      <c r="C30" s="3">
        <v>9</v>
      </c>
      <c r="D30" s="3">
        <v>30</v>
      </c>
    </row>
    <row r="31" spans="1:4" ht="15" customHeight="1" x14ac:dyDescent="0.3">
      <c r="A31" s="4" t="s">
        <v>33</v>
      </c>
      <c r="B31" s="4">
        <v>332</v>
      </c>
      <c r="C31" s="4">
        <v>139</v>
      </c>
      <c r="D31" s="4">
        <v>471</v>
      </c>
    </row>
    <row r="32" spans="1:4" ht="15" customHeight="1" x14ac:dyDescent="0.3">
      <c r="A32" s="3" t="s">
        <v>34</v>
      </c>
      <c r="B32" s="3">
        <v>1118</v>
      </c>
      <c r="C32" s="3">
        <v>399</v>
      </c>
      <c r="D32" s="3">
        <v>1517</v>
      </c>
    </row>
    <row r="33" spans="1:4" ht="15" customHeight="1" x14ac:dyDescent="0.3">
      <c r="A33" s="4" t="s">
        <v>35</v>
      </c>
      <c r="B33" s="4">
        <v>757</v>
      </c>
      <c r="C33" s="4">
        <v>384</v>
      </c>
      <c r="D33" s="4">
        <v>1141</v>
      </c>
    </row>
    <row r="34" spans="1:4" ht="15" customHeight="1" x14ac:dyDescent="0.3">
      <c r="A34" s="3" t="s">
        <v>36</v>
      </c>
      <c r="B34" s="3">
        <v>591</v>
      </c>
      <c r="C34" s="3">
        <v>224</v>
      </c>
      <c r="D34" s="3">
        <v>815</v>
      </c>
    </row>
    <row r="35" spans="1:4" ht="15" customHeight="1" x14ac:dyDescent="0.3">
      <c r="A35" s="4" t="s">
        <v>37</v>
      </c>
      <c r="B35" s="4">
        <v>5478</v>
      </c>
      <c r="C35" s="4">
        <v>931</v>
      </c>
      <c r="D35" s="4">
        <v>6409</v>
      </c>
    </row>
    <row r="36" spans="1:4" ht="15" customHeight="1" x14ac:dyDescent="0.3">
      <c r="A36" s="3" t="s">
        <v>38</v>
      </c>
      <c r="B36" s="3">
        <v>734</v>
      </c>
      <c r="C36" s="3">
        <v>182</v>
      </c>
      <c r="D36" s="3">
        <v>916</v>
      </c>
    </row>
    <row r="37" spans="1:4" ht="15" customHeight="1" x14ac:dyDescent="0.3">
      <c r="A37" s="4" t="s">
        <v>39</v>
      </c>
      <c r="B37" s="4">
        <v>2758</v>
      </c>
      <c r="C37" s="4">
        <v>534</v>
      </c>
      <c r="D37" s="4">
        <v>3292</v>
      </c>
    </row>
    <row r="38" spans="1:4" ht="15" customHeight="1" x14ac:dyDescent="0.3">
      <c r="A38" s="3" t="s">
        <v>40</v>
      </c>
      <c r="B38" s="3">
        <v>160</v>
      </c>
      <c r="C38" s="3">
        <v>34</v>
      </c>
      <c r="D38" s="3">
        <v>194</v>
      </c>
    </row>
    <row r="39" spans="1:4" ht="15" customHeight="1" x14ac:dyDescent="0.3">
      <c r="A39" s="4" t="s">
        <v>41</v>
      </c>
      <c r="B39" s="4">
        <v>73</v>
      </c>
      <c r="C39" s="4">
        <v>201</v>
      </c>
      <c r="D39" s="4">
        <v>274</v>
      </c>
    </row>
    <row r="40" spans="1:4" ht="15" customHeight="1" x14ac:dyDescent="0.3">
      <c r="A40" s="7" t="s">
        <v>42</v>
      </c>
      <c r="B40" s="7">
        <v>408</v>
      </c>
      <c r="C40" s="7">
        <v>24</v>
      </c>
      <c r="D40" s="7">
        <v>432</v>
      </c>
    </row>
    <row r="41" spans="1:4" ht="15" customHeight="1" x14ac:dyDescent="0.3">
      <c r="A41" s="8" t="s">
        <v>43</v>
      </c>
      <c r="B41" s="8">
        <v>2358</v>
      </c>
      <c r="C41" s="8">
        <v>123</v>
      </c>
      <c r="D41" s="8">
        <v>2481</v>
      </c>
    </row>
    <row r="42" spans="1:4" ht="15" customHeight="1" x14ac:dyDescent="0.3">
      <c r="A42" s="7" t="s">
        <v>44</v>
      </c>
      <c r="B42" s="7">
        <v>46</v>
      </c>
      <c r="C42" s="7">
        <v>5</v>
      </c>
      <c r="D42" s="7">
        <v>51</v>
      </c>
    </row>
    <row r="43" spans="1:4" ht="15" customHeight="1" x14ac:dyDescent="0.3">
      <c r="A43" s="8" t="s">
        <v>45</v>
      </c>
      <c r="B43" s="8">
        <v>324</v>
      </c>
      <c r="C43" s="8">
        <v>13</v>
      </c>
      <c r="D43" s="8">
        <v>337</v>
      </c>
    </row>
    <row r="44" spans="1:4" ht="15" customHeight="1" x14ac:dyDescent="0.3">
      <c r="A44" s="3" t="s">
        <v>46</v>
      </c>
      <c r="B44" s="3">
        <v>325</v>
      </c>
      <c r="C44" s="3">
        <v>62</v>
      </c>
      <c r="D44" s="3">
        <v>387</v>
      </c>
    </row>
    <row r="45" spans="1:4" ht="15" customHeight="1" x14ac:dyDescent="0.3">
      <c r="A45" s="4" t="s">
        <v>47</v>
      </c>
      <c r="B45" s="4">
        <v>1124</v>
      </c>
      <c r="C45" s="4">
        <v>497</v>
      </c>
      <c r="D45" s="4">
        <v>1621</v>
      </c>
    </row>
    <row r="46" spans="1:4" ht="15" customHeight="1" x14ac:dyDescent="0.3">
      <c r="A46" s="3" t="s">
        <v>48</v>
      </c>
      <c r="B46" s="3">
        <v>2260</v>
      </c>
      <c r="C46" s="3">
        <v>821</v>
      </c>
      <c r="D46" s="3">
        <v>3081</v>
      </c>
    </row>
    <row r="47" spans="1:4" ht="15" customHeight="1" x14ac:dyDescent="0.3">
      <c r="A47" s="4" t="s">
        <v>49</v>
      </c>
      <c r="B47" s="4">
        <v>1008</v>
      </c>
      <c r="C47" s="4">
        <v>217</v>
      </c>
      <c r="D47" s="4">
        <v>1225</v>
      </c>
    </row>
    <row r="48" spans="1:4" ht="15" customHeight="1" x14ac:dyDescent="0.3">
      <c r="A48" s="3" t="s">
        <v>50</v>
      </c>
      <c r="B48" s="3">
        <v>443</v>
      </c>
      <c r="C48" s="3">
        <v>483</v>
      </c>
      <c r="D48" s="3">
        <v>926</v>
      </c>
    </row>
    <row r="49" spans="1:4" ht="15" customHeight="1" x14ac:dyDescent="0.3">
      <c r="A49" s="4" t="s">
        <v>51</v>
      </c>
      <c r="B49" s="4">
        <v>2959</v>
      </c>
      <c r="C49" s="4">
        <v>829</v>
      </c>
      <c r="D49" s="4">
        <v>3788</v>
      </c>
    </row>
    <row r="50" spans="1:4" ht="15" customHeight="1" x14ac:dyDescent="0.3">
      <c r="A50" s="3" t="s">
        <v>52</v>
      </c>
      <c r="B50" s="3">
        <v>280</v>
      </c>
      <c r="C50" s="3">
        <v>105</v>
      </c>
      <c r="D50" s="3">
        <v>385</v>
      </c>
    </row>
    <row r="51" spans="1:4" ht="15" customHeight="1" x14ac:dyDescent="0.3">
      <c r="A51" s="4" t="s">
        <v>53</v>
      </c>
      <c r="B51" s="4">
        <v>761</v>
      </c>
      <c r="C51" s="4">
        <v>478</v>
      </c>
      <c r="D51" s="4">
        <v>1239</v>
      </c>
    </row>
    <row r="52" spans="1:4" ht="15" customHeight="1" x14ac:dyDescent="0.3">
      <c r="A52" s="3" t="s">
        <v>54</v>
      </c>
      <c r="B52" s="3">
        <v>82</v>
      </c>
      <c r="C52" s="3">
        <v>188</v>
      </c>
      <c r="D52" s="3">
        <v>270</v>
      </c>
    </row>
    <row r="53" spans="1:4" ht="15" customHeight="1" x14ac:dyDescent="0.3">
      <c r="A53" s="4" t="s">
        <v>55</v>
      </c>
      <c r="B53" s="4">
        <v>225</v>
      </c>
      <c r="C53" s="4">
        <v>33</v>
      </c>
      <c r="D53" s="4">
        <v>258</v>
      </c>
    </row>
    <row r="54" spans="1:4" ht="15" customHeight="1" x14ac:dyDescent="0.3">
      <c r="A54" s="3" t="s">
        <v>56</v>
      </c>
      <c r="B54" s="3">
        <v>234</v>
      </c>
      <c r="C54" s="3">
        <v>438</v>
      </c>
      <c r="D54" s="3">
        <v>672</v>
      </c>
    </row>
    <row r="55" spans="1:4" ht="15" customHeight="1" x14ac:dyDescent="0.3">
      <c r="A55" s="6" t="s">
        <v>58</v>
      </c>
      <c r="B55" s="6">
        <f>SUM(B12,B13,B14,B15)</f>
        <v>865</v>
      </c>
      <c r="C55" s="6">
        <f t="shared" ref="C55:D55" si="0">SUM(C12,C13,C14,C15)</f>
        <v>226</v>
      </c>
      <c r="D55" s="6">
        <f t="shared" si="0"/>
        <v>1091</v>
      </c>
    </row>
    <row r="56" spans="1:4" ht="15" customHeight="1" x14ac:dyDescent="0.3">
      <c r="A56" s="8" t="s">
        <v>57</v>
      </c>
      <c r="B56" s="8">
        <f>SUM(B40,B41,B42,B43)</f>
        <v>3136</v>
      </c>
      <c r="C56" s="8">
        <f t="shared" ref="C56:D56" si="1">SUM(C40,C41,C42,C43)</f>
        <v>165</v>
      </c>
      <c r="D56" s="8">
        <f t="shared" si="1"/>
        <v>3301</v>
      </c>
    </row>
  </sheetData>
  <autoFilter ref="A1:D5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4244</v>
      </c>
      <c r="C2" s="3">
        <v>1596</v>
      </c>
      <c r="D2" s="3">
        <v>5840</v>
      </c>
    </row>
    <row r="3" spans="1:4" ht="15" customHeight="1" x14ac:dyDescent="0.3">
      <c r="A3" s="4" t="s">
        <v>5</v>
      </c>
      <c r="B3" s="4">
        <v>2753</v>
      </c>
      <c r="C3" s="4">
        <v>650</v>
      </c>
      <c r="D3" s="4">
        <v>3403</v>
      </c>
    </row>
    <row r="4" spans="1:4" ht="15" customHeight="1" x14ac:dyDescent="0.3">
      <c r="A4" s="3" t="s">
        <v>6</v>
      </c>
      <c r="B4" s="3">
        <v>8174</v>
      </c>
      <c r="C4" s="3">
        <v>1313</v>
      </c>
      <c r="D4" s="3">
        <v>9487</v>
      </c>
    </row>
    <row r="5" spans="1:4" ht="15" customHeight="1" x14ac:dyDescent="0.3">
      <c r="A5" s="4" t="s">
        <v>7</v>
      </c>
      <c r="B5" s="4">
        <v>75</v>
      </c>
      <c r="C5" s="4">
        <v>12</v>
      </c>
      <c r="D5" s="4">
        <v>87</v>
      </c>
    </row>
    <row r="6" spans="1:4" ht="15" customHeight="1" x14ac:dyDescent="0.3">
      <c r="A6" s="3" t="s">
        <v>8</v>
      </c>
      <c r="B6" s="3">
        <v>5229</v>
      </c>
      <c r="C6" s="3">
        <v>1061</v>
      </c>
      <c r="D6" s="3">
        <v>6290</v>
      </c>
    </row>
    <row r="7" spans="1:4" ht="15" customHeight="1" x14ac:dyDescent="0.3">
      <c r="A7" s="4" t="s">
        <v>9</v>
      </c>
      <c r="B7" s="4">
        <v>481</v>
      </c>
      <c r="C7" s="4">
        <v>228</v>
      </c>
      <c r="D7" s="4">
        <v>709</v>
      </c>
    </row>
    <row r="8" spans="1:4" ht="15" customHeight="1" x14ac:dyDescent="0.3">
      <c r="A8" s="3" t="s">
        <v>10</v>
      </c>
      <c r="B8" s="3">
        <v>411</v>
      </c>
      <c r="C8" s="3">
        <v>144</v>
      </c>
      <c r="D8" s="3">
        <v>555</v>
      </c>
    </row>
    <row r="9" spans="1:4" ht="15" customHeight="1" x14ac:dyDescent="0.3">
      <c r="A9" s="4" t="s">
        <v>11</v>
      </c>
      <c r="B9" s="4">
        <v>181</v>
      </c>
      <c r="C9" s="4">
        <v>45</v>
      </c>
      <c r="D9" s="4">
        <v>226</v>
      </c>
    </row>
    <row r="10" spans="1:4" ht="15" customHeight="1" x14ac:dyDescent="0.3">
      <c r="A10" s="3" t="s">
        <v>12</v>
      </c>
      <c r="B10" s="3">
        <v>46</v>
      </c>
      <c r="C10" s="3"/>
      <c r="D10" s="3">
        <v>46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13</v>
      </c>
      <c r="C12" s="5">
        <v>3</v>
      </c>
      <c r="D12" s="5">
        <v>16</v>
      </c>
    </row>
    <row r="13" spans="1:4" ht="15" customHeight="1" x14ac:dyDescent="0.3">
      <c r="A13" s="6" t="s">
        <v>15</v>
      </c>
      <c r="B13" s="6">
        <v>145</v>
      </c>
      <c r="C13" s="6">
        <v>69</v>
      </c>
      <c r="D13" s="6">
        <v>214</v>
      </c>
    </row>
    <row r="14" spans="1:4" ht="15" customHeight="1" x14ac:dyDescent="0.3">
      <c r="A14" s="5" t="s">
        <v>16</v>
      </c>
      <c r="B14" s="5">
        <v>672</v>
      </c>
      <c r="C14" s="5">
        <v>137</v>
      </c>
      <c r="D14" s="5">
        <v>809</v>
      </c>
    </row>
    <row r="15" spans="1:4" ht="15" customHeight="1" x14ac:dyDescent="0.3">
      <c r="A15" s="6" t="s">
        <v>17</v>
      </c>
      <c r="B15" s="6">
        <v>277</v>
      </c>
      <c r="C15" s="6">
        <v>51</v>
      </c>
      <c r="D15" s="6">
        <v>328</v>
      </c>
    </row>
    <row r="16" spans="1:4" ht="15" customHeight="1" x14ac:dyDescent="0.3">
      <c r="A16" s="3" t="s">
        <v>18</v>
      </c>
      <c r="B16" s="3">
        <v>251</v>
      </c>
      <c r="C16" s="3">
        <v>53</v>
      </c>
      <c r="D16" s="3">
        <v>304</v>
      </c>
    </row>
    <row r="17" spans="1:4" ht="15" customHeight="1" x14ac:dyDescent="0.3">
      <c r="A17" s="4" t="s">
        <v>19</v>
      </c>
      <c r="B17" s="4">
        <v>1338</v>
      </c>
      <c r="C17" s="4">
        <v>696</v>
      </c>
      <c r="D17" s="4">
        <v>2034</v>
      </c>
    </row>
    <row r="18" spans="1:4" ht="15" customHeight="1" x14ac:dyDescent="0.3">
      <c r="A18" s="3" t="s">
        <v>20</v>
      </c>
      <c r="B18" s="3">
        <v>104</v>
      </c>
      <c r="C18" s="3">
        <v>73</v>
      </c>
      <c r="D18" s="3">
        <v>177</v>
      </c>
    </row>
    <row r="19" spans="1:4" ht="15" customHeight="1" x14ac:dyDescent="0.3">
      <c r="A19" s="4" t="s">
        <v>21</v>
      </c>
      <c r="B19" s="4">
        <v>1453</v>
      </c>
      <c r="C19" s="4">
        <v>580</v>
      </c>
      <c r="D19" s="4">
        <v>2033</v>
      </c>
    </row>
    <row r="20" spans="1:4" ht="15" customHeight="1" x14ac:dyDescent="0.3">
      <c r="A20" s="3" t="s">
        <v>22</v>
      </c>
      <c r="B20" s="3">
        <v>39</v>
      </c>
      <c r="C20" s="3"/>
      <c r="D20" s="3">
        <v>39</v>
      </c>
    </row>
    <row r="21" spans="1:4" ht="15" customHeight="1" x14ac:dyDescent="0.3">
      <c r="A21" s="4" t="s">
        <v>23</v>
      </c>
      <c r="B21" s="4">
        <v>1591</v>
      </c>
      <c r="C21" s="4">
        <v>563</v>
      </c>
      <c r="D21" s="4">
        <v>2154</v>
      </c>
    </row>
    <row r="22" spans="1:4" ht="15" customHeight="1" x14ac:dyDescent="0.3">
      <c r="A22" s="3" t="s">
        <v>24</v>
      </c>
      <c r="B22" s="3">
        <v>268</v>
      </c>
      <c r="C22" s="3">
        <v>68</v>
      </c>
      <c r="D22" s="3">
        <v>336</v>
      </c>
    </row>
    <row r="23" spans="1:4" ht="15" customHeight="1" x14ac:dyDescent="0.3">
      <c r="A23" s="4" t="s">
        <v>25</v>
      </c>
      <c r="B23" s="4">
        <v>2373</v>
      </c>
      <c r="C23" s="4">
        <v>860</v>
      </c>
      <c r="D23" s="4">
        <v>3233</v>
      </c>
    </row>
    <row r="24" spans="1:4" ht="15" customHeight="1" x14ac:dyDescent="0.3">
      <c r="A24" s="3" t="s">
        <v>26</v>
      </c>
      <c r="B24" s="3">
        <v>10303</v>
      </c>
      <c r="C24" s="3">
        <v>1774</v>
      </c>
      <c r="D24" s="3">
        <v>12077</v>
      </c>
    </row>
    <row r="25" spans="1:4" ht="15" customHeight="1" x14ac:dyDescent="0.3">
      <c r="A25" s="4" t="s">
        <v>27</v>
      </c>
      <c r="B25" s="4">
        <v>420</v>
      </c>
      <c r="C25" s="4">
        <v>117</v>
      </c>
      <c r="D25" s="4">
        <v>537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450</v>
      </c>
      <c r="C27" s="4">
        <v>169</v>
      </c>
      <c r="D27" s="4">
        <v>619</v>
      </c>
    </row>
    <row r="28" spans="1:4" ht="15" customHeight="1" x14ac:dyDescent="0.3">
      <c r="A28" s="3" t="s">
        <v>30</v>
      </c>
      <c r="B28" s="3">
        <v>316</v>
      </c>
      <c r="C28" s="3">
        <v>153</v>
      </c>
      <c r="D28" s="3">
        <v>469</v>
      </c>
    </row>
    <row r="29" spans="1:4" ht="15" customHeight="1" x14ac:dyDescent="0.3">
      <c r="A29" s="4" t="s">
        <v>31</v>
      </c>
      <c r="B29" s="4">
        <v>1748</v>
      </c>
      <c r="C29" s="4">
        <v>800</v>
      </c>
      <c r="D29" s="4">
        <v>2548</v>
      </c>
    </row>
    <row r="30" spans="1:4" ht="15" customHeight="1" x14ac:dyDescent="0.3">
      <c r="A30" s="3" t="s">
        <v>32</v>
      </c>
      <c r="B30" s="3">
        <v>4</v>
      </c>
      <c r="C30" s="3">
        <v>27</v>
      </c>
      <c r="D30" s="3">
        <v>31</v>
      </c>
    </row>
    <row r="31" spans="1:4" ht="15" customHeight="1" x14ac:dyDescent="0.3">
      <c r="A31" s="4" t="s">
        <v>33</v>
      </c>
      <c r="B31" s="4">
        <v>335</v>
      </c>
      <c r="C31" s="4">
        <v>146</v>
      </c>
      <c r="D31" s="4">
        <v>481</v>
      </c>
    </row>
    <row r="32" spans="1:4" ht="15" customHeight="1" x14ac:dyDescent="0.3">
      <c r="A32" s="3" t="s">
        <v>34</v>
      </c>
      <c r="B32" s="3">
        <v>1217</v>
      </c>
      <c r="C32" s="3">
        <v>429</v>
      </c>
      <c r="D32" s="3">
        <v>1646</v>
      </c>
    </row>
    <row r="33" spans="1:4" ht="15" customHeight="1" x14ac:dyDescent="0.3">
      <c r="A33" s="4" t="s">
        <v>35</v>
      </c>
      <c r="B33" s="4">
        <v>806</v>
      </c>
      <c r="C33" s="4">
        <v>386</v>
      </c>
      <c r="D33" s="4">
        <v>1192</v>
      </c>
    </row>
    <row r="34" spans="1:4" ht="15" customHeight="1" x14ac:dyDescent="0.3">
      <c r="A34" s="3" t="s">
        <v>36</v>
      </c>
      <c r="B34" s="3">
        <v>339</v>
      </c>
      <c r="C34" s="3">
        <v>149</v>
      </c>
      <c r="D34" s="3">
        <v>488</v>
      </c>
    </row>
    <row r="35" spans="1:4" ht="15" customHeight="1" x14ac:dyDescent="0.3">
      <c r="A35" s="4" t="s">
        <v>37</v>
      </c>
      <c r="B35" s="4">
        <v>5017</v>
      </c>
      <c r="C35" s="4">
        <v>1059</v>
      </c>
      <c r="D35" s="4">
        <v>6076</v>
      </c>
    </row>
    <row r="36" spans="1:4" ht="15" customHeight="1" x14ac:dyDescent="0.3">
      <c r="A36" s="3" t="s">
        <v>38</v>
      </c>
      <c r="B36" s="3">
        <v>722</v>
      </c>
      <c r="C36" s="3">
        <v>153</v>
      </c>
      <c r="D36" s="3">
        <v>875</v>
      </c>
    </row>
    <row r="37" spans="1:4" ht="15" customHeight="1" x14ac:dyDescent="0.3">
      <c r="A37" s="4" t="s">
        <v>39</v>
      </c>
      <c r="B37" s="4">
        <v>3172</v>
      </c>
      <c r="C37" s="4">
        <v>682</v>
      </c>
      <c r="D37" s="4">
        <v>3854</v>
      </c>
    </row>
    <row r="38" spans="1:4" ht="15" customHeight="1" x14ac:dyDescent="0.3">
      <c r="A38" s="3" t="s">
        <v>40</v>
      </c>
      <c r="B38" s="3">
        <v>200</v>
      </c>
      <c r="C38" s="3">
        <v>33</v>
      </c>
      <c r="D38" s="3">
        <v>233</v>
      </c>
    </row>
    <row r="39" spans="1:4" ht="15" customHeight="1" x14ac:dyDescent="0.3">
      <c r="A39" s="4" t="s">
        <v>41</v>
      </c>
      <c r="B39" s="4">
        <v>121</v>
      </c>
      <c r="C39" s="4">
        <v>117</v>
      </c>
      <c r="D39" s="4">
        <v>238</v>
      </c>
    </row>
    <row r="40" spans="1:4" ht="15" customHeight="1" x14ac:dyDescent="0.3">
      <c r="A40" s="7" t="s">
        <v>42</v>
      </c>
      <c r="B40" s="7">
        <v>445</v>
      </c>
      <c r="C40" s="7">
        <v>31</v>
      </c>
      <c r="D40" s="7">
        <v>476</v>
      </c>
    </row>
    <row r="41" spans="1:4" ht="15" customHeight="1" x14ac:dyDescent="0.3">
      <c r="A41" s="8" t="s">
        <v>43</v>
      </c>
      <c r="B41" s="8">
        <v>1998</v>
      </c>
      <c r="C41" s="8">
        <v>137</v>
      </c>
      <c r="D41" s="8">
        <v>2135</v>
      </c>
    </row>
    <row r="42" spans="1:4" ht="15" customHeight="1" x14ac:dyDescent="0.3">
      <c r="A42" s="7" t="s">
        <v>44</v>
      </c>
      <c r="B42" s="7">
        <v>35</v>
      </c>
      <c r="C42" s="7">
        <v>6</v>
      </c>
      <c r="D42" s="7">
        <v>41</v>
      </c>
    </row>
    <row r="43" spans="1:4" ht="15" customHeight="1" x14ac:dyDescent="0.3">
      <c r="A43" s="8" t="s">
        <v>45</v>
      </c>
      <c r="B43" s="8">
        <v>242</v>
      </c>
      <c r="C43" s="8">
        <v>9</v>
      </c>
      <c r="D43" s="8">
        <v>251</v>
      </c>
    </row>
    <row r="44" spans="1:4" ht="15" customHeight="1" x14ac:dyDescent="0.3">
      <c r="A44" s="3" t="s">
        <v>46</v>
      </c>
      <c r="B44" s="3">
        <v>360</v>
      </c>
      <c r="C44" s="3">
        <v>51</v>
      </c>
      <c r="D44" s="3">
        <v>411</v>
      </c>
    </row>
    <row r="45" spans="1:4" ht="15" customHeight="1" x14ac:dyDescent="0.3">
      <c r="A45" s="4" t="s">
        <v>47</v>
      </c>
      <c r="B45" s="4">
        <v>1326</v>
      </c>
      <c r="C45" s="4">
        <v>534</v>
      </c>
      <c r="D45" s="4">
        <v>1860</v>
      </c>
    </row>
    <row r="46" spans="1:4" ht="15" customHeight="1" x14ac:dyDescent="0.3">
      <c r="A46" s="3" t="s">
        <v>48</v>
      </c>
      <c r="B46" s="3">
        <v>2566</v>
      </c>
      <c r="C46" s="3">
        <v>973</v>
      </c>
      <c r="D46" s="3">
        <v>3539</v>
      </c>
    </row>
    <row r="47" spans="1:4" ht="15" customHeight="1" x14ac:dyDescent="0.3">
      <c r="A47" s="4" t="s">
        <v>49</v>
      </c>
      <c r="B47" s="4">
        <v>1283</v>
      </c>
      <c r="C47" s="4">
        <v>295</v>
      </c>
      <c r="D47" s="4">
        <v>1578</v>
      </c>
    </row>
    <row r="48" spans="1:4" ht="15" customHeight="1" x14ac:dyDescent="0.3">
      <c r="A48" s="3" t="s">
        <v>50</v>
      </c>
      <c r="B48" s="3">
        <v>526</v>
      </c>
      <c r="C48" s="3">
        <v>557</v>
      </c>
      <c r="D48" s="3">
        <v>1083</v>
      </c>
    </row>
    <row r="49" spans="1:4" ht="15" customHeight="1" x14ac:dyDescent="0.3">
      <c r="A49" s="4" t="s">
        <v>51</v>
      </c>
      <c r="B49" s="4">
        <v>3049</v>
      </c>
      <c r="C49" s="4">
        <v>1049</v>
      </c>
      <c r="D49" s="4">
        <v>4098</v>
      </c>
    </row>
    <row r="50" spans="1:4" ht="15" customHeight="1" x14ac:dyDescent="0.3">
      <c r="A50" s="3" t="s">
        <v>52</v>
      </c>
      <c r="B50" s="3">
        <v>377</v>
      </c>
      <c r="C50" s="3">
        <v>143</v>
      </c>
      <c r="D50" s="3">
        <v>520</v>
      </c>
    </row>
    <row r="51" spans="1:4" ht="15" customHeight="1" x14ac:dyDescent="0.3">
      <c r="A51" s="4" t="s">
        <v>53</v>
      </c>
      <c r="B51" s="4">
        <v>951</v>
      </c>
      <c r="C51" s="4">
        <v>499</v>
      </c>
      <c r="D51" s="4">
        <v>1450</v>
      </c>
    </row>
    <row r="52" spans="1:4" ht="15" customHeight="1" x14ac:dyDescent="0.3">
      <c r="A52" s="3" t="s">
        <v>54</v>
      </c>
      <c r="B52" s="3">
        <v>75</v>
      </c>
      <c r="C52" s="3">
        <v>161</v>
      </c>
      <c r="D52" s="3">
        <v>236</v>
      </c>
    </row>
    <row r="53" spans="1:4" ht="15" customHeight="1" x14ac:dyDescent="0.3">
      <c r="A53" s="4" t="s">
        <v>55</v>
      </c>
      <c r="B53" s="4">
        <v>186</v>
      </c>
      <c r="C53" s="4">
        <v>20</v>
      </c>
      <c r="D53" s="4">
        <v>206</v>
      </c>
    </row>
    <row r="54" spans="1:4" ht="15" customHeight="1" x14ac:dyDescent="0.3">
      <c r="A54" s="3" t="s">
        <v>56</v>
      </c>
      <c r="B54" s="3">
        <v>278</v>
      </c>
      <c r="C54" s="3">
        <v>448</v>
      </c>
      <c r="D54" s="3">
        <v>726</v>
      </c>
    </row>
    <row r="55" spans="1:4" ht="15" customHeight="1" x14ac:dyDescent="0.3">
      <c r="A55" s="6" t="s">
        <v>58</v>
      </c>
      <c r="B55" s="6">
        <f>SUM(B12,B13,B14,B15)</f>
        <v>1107</v>
      </c>
      <c r="C55" s="6">
        <f t="shared" ref="C55:D55" si="0">SUM(C12,C13,C14,C15)</f>
        <v>260</v>
      </c>
      <c r="D55" s="6">
        <f t="shared" si="0"/>
        <v>1367</v>
      </c>
    </row>
    <row r="56" spans="1:4" ht="15" customHeight="1" x14ac:dyDescent="0.3">
      <c r="A56" s="8" t="s">
        <v>57</v>
      </c>
      <c r="B56" s="8">
        <f>SUM(B40,B41,B42,B43)</f>
        <v>2720</v>
      </c>
      <c r="C56" s="8">
        <f t="shared" ref="C56:D56" si="1">SUM(C40,C41,C42,C43)</f>
        <v>183</v>
      </c>
      <c r="D56" s="8">
        <f t="shared" si="1"/>
        <v>2903</v>
      </c>
    </row>
  </sheetData>
  <autoFilter ref="A1:D5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3801</v>
      </c>
      <c r="C2" s="3">
        <v>1453</v>
      </c>
      <c r="D2" s="3">
        <v>5254</v>
      </c>
    </row>
    <row r="3" spans="1:4" ht="15" customHeight="1" x14ac:dyDescent="0.3">
      <c r="A3" s="4" t="s">
        <v>5</v>
      </c>
      <c r="B3" s="4">
        <v>2325</v>
      </c>
      <c r="C3" s="4">
        <v>506</v>
      </c>
      <c r="D3" s="4">
        <v>2831</v>
      </c>
    </row>
    <row r="4" spans="1:4" ht="15" customHeight="1" x14ac:dyDescent="0.3">
      <c r="A4" s="3" t="s">
        <v>6</v>
      </c>
      <c r="B4" s="3">
        <v>7069</v>
      </c>
      <c r="C4" s="3">
        <v>1036</v>
      </c>
      <c r="D4" s="3">
        <v>8105</v>
      </c>
    </row>
    <row r="5" spans="1:4" ht="15" customHeight="1" x14ac:dyDescent="0.3">
      <c r="A5" s="4" t="s">
        <v>7</v>
      </c>
      <c r="B5" s="4">
        <v>107</v>
      </c>
      <c r="C5" s="4">
        <v>20</v>
      </c>
      <c r="D5" s="4">
        <v>127</v>
      </c>
    </row>
    <row r="6" spans="1:4" ht="15" customHeight="1" x14ac:dyDescent="0.3">
      <c r="A6" s="3" t="s">
        <v>8</v>
      </c>
      <c r="B6" s="3">
        <v>5060</v>
      </c>
      <c r="C6" s="3">
        <v>905</v>
      </c>
      <c r="D6" s="3">
        <v>5965</v>
      </c>
    </row>
    <row r="7" spans="1:4" ht="15" customHeight="1" x14ac:dyDescent="0.3">
      <c r="A7" s="4" t="s">
        <v>9</v>
      </c>
      <c r="B7" s="4">
        <v>775</v>
      </c>
      <c r="C7" s="4">
        <v>236</v>
      </c>
      <c r="D7" s="4">
        <v>1011</v>
      </c>
    </row>
    <row r="8" spans="1:4" ht="15" customHeight="1" x14ac:dyDescent="0.3">
      <c r="A8" s="3" t="s">
        <v>10</v>
      </c>
      <c r="B8" s="3">
        <v>318</v>
      </c>
      <c r="C8" s="3">
        <v>84</v>
      </c>
      <c r="D8" s="3">
        <v>402</v>
      </c>
    </row>
    <row r="9" spans="1:4" ht="15" customHeight="1" x14ac:dyDescent="0.3">
      <c r="A9" s="4" t="s">
        <v>11</v>
      </c>
      <c r="B9" s="4">
        <v>188</v>
      </c>
      <c r="C9" s="4">
        <v>44</v>
      </c>
      <c r="D9" s="4">
        <v>232</v>
      </c>
    </row>
    <row r="10" spans="1:4" ht="15" customHeight="1" x14ac:dyDescent="0.3">
      <c r="A10" s="3" t="s">
        <v>12</v>
      </c>
      <c r="B10" s="3">
        <v>59</v>
      </c>
      <c r="C10" s="3"/>
      <c r="D10" s="3">
        <v>59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46</v>
      </c>
      <c r="C12" s="5">
        <v>11</v>
      </c>
      <c r="D12" s="5">
        <v>57</v>
      </c>
    </row>
    <row r="13" spans="1:4" ht="15" customHeight="1" x14ac:dyDescent="0.3">
      <c r="A13" s="6" t="s">
        <v>15</v>
      </c>
      <c r="B13" s="6">
        <v>154</v>
      </c>
      <c r="C13" s="6">
        <v>55</v>
      </c>
      <c r="D13" s="6">
        <v>209</v>
      </c>
    </row>
    <row r="14" spans="1:4" ht="15" customHeight="1" x14ac:dyDescent="0.3">
      <c r="A14" s="5" t="s">
        <v>16</v>
      </c>
      <c r="B14" s="5">
        <v>569</v>
      </c>
      <c r="C14" s="5">
        <v>116</v>
      </c>
      <c r="D14" s="5">
        <v>685</v>
      </c>
    </row>
    <row r="15" spans="1:4" ht="15" customHeight="1" x14ac:dyDescent="0.3">
      <c r="A15" s="6" t="s">
        <v>17</v>
      </c>
      <c r="B15" s="6">
        <v>242</v>
      </c>
      <c r="C15" s="6">
        <v>37</v>
      </c>
      <c r="D15" s="6">
        <v>279</v>
      </c>
    </row>
    <row r="16" spans="1:4" ht="15" customHeight="1" x14ac:dyDescent="0.3">
      <c r="A16" s="3" t="s">
        <v>18</v>
      </c>
      <c r="B16" s="3">
        <v>255</v>
      </c>
      <c r="C16" s="3">
        <v>72</v>
      </c>
      <c r="D16" s="3">
        <v>327</v>
      </c>
    </row>
    <row r="17" spans="1:4" ht="15" customHeight="1" x14ac:dyDescent="0.3">
      <c r="A17" s="4" t="s">
        <v>19</v>
      </c>
      <c r="B17" s="4">
        <v>1096</v>
      </c>
      <c r="C17" s="4">
        <v>568</v>
      </c>
      <c r="D17" s="4">
        <v>1664</v>
      </c>
    </row>
    <row r="18" spans="1:4" ht="15" customHeight="1" x14ac:dyDescent="0.3">
      <c r="A18" s="3" t="s">
        <v>20</v>
      </c>
      <c r="B18" s="3">
        <v>80</v>
      </c>
      <c r="C18" s="3">
        <v>123</v>
      </c>
      <c r="D18" s="3">
        <v>203</v>
      </c>
    </row>
    <row r="19" spans="1:4" ht="15" customHeight="1" x14ac:dyDescent="0.3">
      <c r="A19" s="4" t="s">
        <v>21</v>
      </c>
      <c r="B19" s="4">
        <v>1580</v>
      </c>
      <c r="C19" s="4">
        <v>418</v>
      </c>
      <c r="D19" s="4">
        <v>1998</v>
      </c>
    </row>
    <row r="20" spans="1:4" ht="15" customHeight="1" x14ac:dyDescent="0.3">
      <c r="A20" s="3" t="s">
        <v>22</v>
      </c>
      <c r="B20" s="3">
        <v>18</v>
      </c>
      <c r="C20" s="3">
        <v>2</v>
      </c>
      <c r="D20" s="3">
        <v>20</v>
      </c>
    </row>
    <row r="21" spans="1:4" ht="15" customHeight="1" x14ac:dyDescent="0.3">
      <c r="A21" s="4" t="s">
        <v>23</v>
      </c>
      <c r="B21" s="4">
        <v>1431</v>
      </c>
      <c r="C21" s="4">
        <v>446</v>
      </c>
      <c r="D21" s="4">
        <v>1877</v>
      </c>
    </row>
    <row r="22" spans="1:4" ht="15" customHeight="1" x14ac:dyDescent="0.3">
      <c r="A22" s="3" t="s">
        <v>24</v>
      </c>
      <c r="B22" s="3">
        <v>284</v>
      </c>
      <c r="C22" s="3">
        <v>90</v>
      </c>
      <c r="D22" s="3">
        <v>374</v>
      </c>
    </row>
    <row r="23" spans="1:4" ht="15" customHeight="1" x14ac:dyDescent="0.3">
      <c r="A23" s="4" t="s">
        <v>25</v>
      </c>
      <c r="B23" s="4">
        <v>2337</v>
      </c>
      <c r="C23" s="4">
        <v>634</v>
      </c>
      <c r="D23" s="4">
        <v>2971</v>
      </c>
    </row>
    <row r="24" spans="1:4" ht="15" customHeight="1" x14ac:dyDescent="0.3">
      <c r="A24" s="3" t="s">
        <v>26</v>
      </c>
      <c r="B24" s="3">
        <v>9508</v>
      </c>
      <c r="C24" s="3">
        <v>1819</v>
      </c>
      <c r="D24" s="3">
        <v>11327</v>
      </c>
    </row>
    <row r="25" spans="1:4" ht="15" customHeight="1" x14ac:dyDescent="0.3">
      <c r="A25" s="4" t="s">
        <v>27</v>
      </c>
      <c r="B25" s="4">
        <v>389</v>
      </c>
      <c r="C25" s="4">
        <v>215</v>
      </c>
      <c r="D25" s="4">
        <v>604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408</v>
      </c>
      <c r="C27" s="4">
        <v>191</v>
      </c>
      <c r="D27" s="4">
        <v>599</v>
      </c>
    </row>
    <row r="28" spans="1:4" ht="15" customHeight="1" x14ac:dyDescent="0.3">
      <c r="A28" s="3" t="s">
        <v>30</v>
      </c>
      <c r="B28" s="3">
        <v>259</v>
      </c>
      <c r="C28" s="3">
        <v>128</v>
      </c>
      <c r="D28" s="3">
        <v>387</v>
      </c>
    </row>
    <row r="29" spans="1:4" ht="15" customHeight="1" x14ac:dyDescent="0.3">
      <c r="A29" s="4" t="s">
        <v>31</v>
      </c>
      <c r="B29" s="4">
        <v>1994</v>
      </c>
      <c r="C29" s="4">
        <v>776</v>
      </c>
      <c r="D29" s="4">
        <v>2770</v>
      </c>
    </row>
    <row r="30" spans="1:4" ht="15" customHeight="1" x14ac:dyDescent="0.3">
      <c r="A30" s="3" t="s">
        <v>32</v>
      </c>
      <c r="B30" s="3">
        <v>15</v>
      </c>
      <c r="C30" s="3">
        <v>70</v>
      </c>
      <c r="D30" s="3">
        <v>85</v>
      </c>
    </row>
    <row r="31" spans="1:4" ht="15" customHeight="1" x14ac:dyDescent="0.3">
      <c r="A31" s="4" t="s">
        <v>33</v>
      </c>
      <c r="B31" s="4">
        <v>292</v>
      </c>
      <c r="C31" s="4">
        <v>101</v>
      </c>
      <c r="D31" s="4">
        <v>393</v>
      </c>
    </row>
    <row r="32" spans="1:4" ht="15" customHeight="1" x14ac:dyDescent="0.3">
      <c r="A32" s="3" t="s">
        <v>34</v>
      </c>
      <c r="B32" s="3">
        <v>1137</v>
      </c>
      <c r="C32" s="3">
        <v>381</v>
      </c>
      <c r="D32" s="3">
        <v>1518</v>
      </c>
    </row>
    <row r="33" spans="1:4" ht="15" customHeight="1" x14ac:dyDescent="0.3">
      <c r="A33" s="4" t="s">
        <v>35</v>
      </c>
      <c r="B33" s="4">
        <v>736</v>
      </c>
      <c r="C33" s="4">
        <v>310</v>
      </c>
      <c r="D33" s="4">
        <v>1046</v>
      </c>
    </row>
    <row r="34" spans="1:4" ht="15" customHeight="1" x14ac:dyDescent="0.3">
      <c r="A34" s="3" t="s">
        <v>36</v>
      </c>
      <c r="B34" s="3">
        <v>401</v>
      </c>
      <c r="C34" s="3">
        <v>143</v>
      </c>
      <c r="D34" s="3">
        <v>544</v>
      </c>
    </row>
    <row r="35" spans="1:4" ht="15" customHeight="1" x14ac:dyDescent="0.3">
      <c r="A35" s="4" t="s">
        <v>37</v>
      </c>
      <c r="B35" s="4">
        <v>2522</v>
      </c>
      <c r="C35" s="4">
        <v>1043</v>
      </c>
      <c r="D35" s="4">
        <v>3565</v>
      </c>
    </row>
    <row r="36" spans="1:4" ht="15" customHeight="1" x14ac:dyDescent="0.3">
      <c r="A36" s="3" t="s">
        <v>38</v>
      </c>
      <c r="B36" s="3">
        <v>646</v>
      </c>
      <c r="C36" s="3">
        <v>175</v>
      </c>
      <c r="D36" s="3">
        <v>821</v>
      </c>
    </row>
    <row r="37" spans="1:4" ht="15" customHeight="1" x14ac:dyDescent="0.3">
      <c r="A37" s="4" t="s">
        <v>39</v>
      </c>
      <c r="B37" s="4">
        <v>2757</v>
      </c>
      <c r="C37" s="4">
        <v>628</v>
      </c>
      <c r="D37" s="4">
        <v>3385</v>
      </c>
    </row>
    <row r="38" spans="1:4" ht="15" customHeight="1" x14ac:dyDescent="0.3">
      <c r="A38" s="3" t="s">
        <v>40</v>
      </c>
      <c r="B38" s="3">
        <v>249</v>
      </c>
      <c r="C38" s="3">
        <v>48</v>
      </c>
      <c r="D38" s="3">
        <v>297</v>
      </c>
    </row>
    <row r="39" spans="1:4" ht="15" customHeight="1" x14ac:dyDescent="0.3">
      <c r="A39" s="4" t="s">
        <v>41</v>
      </c>
      <c r="B39" s="4">
        <v>78</v>
      </c>
      <c r="C39" s="4">
        <v>70</v>
      </c>
      <c r="D39" s="4">
        <v>148</v>
      </c>
    </row>
    <row r="40" spans="1:4" ht="15" customHeight="1" x14ac:dyDescent="0.3">
      <c r="A40" s="7" t="s">
        <v>42</v>
      </c>
      <c r="B40" s="7">
        <v>549</v>
      </c>
      <c r="C40" s="7">
        <v>11</v>
      </c>
      <c r="D40" s="7">
        <v>560</v>
      </c>
    </row>
    <row r="41" spans="1:4" ht="15" customHeight="1" x14ac:dyDescent="0.3">
      <c r="A41" s="8" t="s">
        <v>43</v>
      </c>
      <c r="B41" s="8">
        <v>1903</v>
      </c>
      <c r="C41" s="8">
        <v>97</v>
      </c>
      <c r="D41" s="8">
        <v>2000</v>
      </c>
    </row>
    <row r="42" spans="1:4" ht="15" customHeight="1" x14ac:dyDescent="0.3">
      <c r="A42" s="7" t="s">
        <v>44</v>
      </c>
      <c r="B42" s="7">
        <v>21</v>
      </c>
      <c r="C42" s="7">
        <v>5</v>
      </c>
      <c r="D42" s="7">
        <v>26</v>
      </c>
    </row>
    <row r="43" spans="1:4" ht="15" customHeight="1" x14ac:dyDescent="0.3">
      <c r="A43" s="8" t="s">
        <v>45</v>
      </c>
      <c r="B43" s="8">
        <v>225</v>
      </c>
      <c r="C43" s="8">
        <v>14</v>
      </c>
      <c r="D43" s="8">
        <v>239</v>
      </c>
    </row>
    <row r="44" spans="1:4" ht="15" customHeight="1" x14ac:dyDescent="0.3">
      <c r="A44" s="3" t="s">
        <v>46</v>
      </c>
      <c r="B44" s="3">
        <v>380</v>
      </c>
      <c r="C44" s="3">
        <v>67</v>
      </c>
      <c r="D44" s="3">
        <v>447</v>
      </c>
    </row>
    <row r="45" spans="1:4" ht="15" customHeight="1" x14ac:dyDescent="0.3">
      <c r="A45" s="4" t="s">
        <v>47</v>
      </c>
      <c r="B45" s="4">
        <v>1276</v>
      </c>
      <c r="C45" s="4">
        <v>550</v>
      </c>
      <c r="D45" s="4">
        <v>1826</v>
      </c>
    </row>
    <row r="46" spans="1:4" ht="15" customHeight="1" x14ac:dyDescent="0.3">
      <c r="A46" s="3" t="s">
        <v>48</v>
      </c>
      <c r="B46" s="3">
        <v>2187</v>
      </c>
      <c r="C46" s="3">
        <v>732</v>
      </c>
      <c r="D46" s="3">
        <v>2919</v>
      </c>
    </row>
    <row r="47" spans="1:4" ht="15" customHeight="1" x14ac:dyDescent="0.3">
      <c r="A47" s="4" t="s">
        <v>49</v>
      </c>
      <c r="B47" s="4">
        <v>1383</v>
      </c>
      <c r="C47" s="4">
        <v>240</v>
      </c>
      <c r="D47" s="4">
        <v>1623</v>
      </c>
    </row>
    <row r="48" spans="1:4" ht="15" customHeight="1" x14ac:dyDescent="0.3">
      <c r="A48" s="3" t="s">
        <v>50</v>
      </c>
      <c r="B48" s="3">
        <v>508</v>
      </c>
      <c r="C48" s="3">
        <v>394</v>
      </c>
      <c r="D48" s="3">
        <v>902</v>
      </c>
    </row>
    <row r="49" spans="1:4" ht="15" customHeight="1" x14ac:dyDescent="0.3">
      <c r="A49" s="4" t="s">
        <v>51</v>
      </c>
      <c r="B49" s="4">
        <v>2761</v>
      </c>
      <c r="C49" s="4">
        <v>984</v>
      </c>
      <c r="D49" s="4">
        <v>3745</v>
      </c>
    </row>
    <row r="50" spans="1:4" ht="15" customHeight="1" x14ac:dyDescent="0.3">
      <c r="A50" s="3" t="s">
        <v>52</v>
      </c>
      <c r="B50" s="3">
        <v>411</v>
      </c>
      <c r="C50" s="3">
        <v>131</v>
      </c>
      <c r="D50" s="3">
        <v>542</v>
      </c>
    </row>
    <row r="51" spans="1:4" ht="15" customHeight="1" x14ac:dyDescent="0.3">
      <c r="A51" s="4" t="s">
        <v>53</v>
      </c>
      <c r="B51" s="4">
        <v>909</v>
      </c>
      <c r="C51" s="4">
        <v>349</v>
      </c>
      <c r="D51" s="4">
        <v>1258</v>
      </c>
    </row>
    <row r="52" spans="1:4" ht="15" customHeight="1" x14ac:dyDescent="0.3">
      <c r="A52" s="3" t="s">
        <v>54</v>
      </c>
      <c r="B52" s="3">
        <v>82</v>
      </c>
      <c r="C52" s="3">
        <v>130</v>
      </c>
      <c r="D52" s="3">
        <v>212</v>
      </c>
    </row>
    <row r="53" spans="1:4" ht="15" customHeight="1" x14ac:dyDescent="0.3">
      <c r="A53" s="4" t="s">
        <v>55</v>
      </c>
      <c r="B53" s="4">
        <v>301</v>
      </c>
      <c r="C53" s="4">
        <v>29</v>
      </c>
      <c r="D53" s="4">
        <v>330</v>
      </c>
    </row>
    <row r="54" spans="1:4" ht="15" customHeight="1" x14ac:dyDescent="0.3">
      <c r="A54" s="3" t="s">
        <v>56</v>
      </c>
      <c r="B54" s="3">
        <v>224</v>
      </c>
      <c r="C54" s="3">
        <v>479</v>
      </c>
      <c r="D54" s="3">
        <v>703</v>
      </c>
    </row>
    <row r="55" spans="1:4" ht="15" customHeight="1" x14ac:dyDescent="0.3">
      <c r="A55" s="6" t="s">
        <v>58</v>
      </c>
      <c r="B55" s="6">
        <f>SUM(B12,B13,B14,B15)</f>
        <v>1011</v>
      </c>
      <c r="C55" s="6">
        <f t="shared" ref="C55:D55" si="0">SUM(C12,C13,C14,C15)</f>
        <v>219</v>
      </c>
      <c r="D55" s="6">
        <f t="shared" si="0"/>
        <v>1230</v>
      </c>
    </row>
    <row r="56" spans="1:4" ht="15" customHeight="1" x14ac:dyDescent="0.3">
      <c r="A56" s="8" t="s">
        <v>57</v>
      </c>
      <c r="B56" s="8">
        <f>SUM(B40,B41,B42,B43)</f>
        <v>2698</v>
      </c>
      <c r="C56" s="8">
        <f t="shared" ref="C56:D56" si="1">SUM(C40,C41,C42,C43)</f>
        <v>127</v>
      </c>
      <c r="D56" s="8">
        <f t="shared" si="1"/>
        <v>2825</v>
      </c>
    </row>
  </sheetData>
  <autoFilter ref="A1:D5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4694</v>
      </c>
      <c r="C2" s="3">
        <v>1251</v>
      </c>
      <c r="D2" s="3">
        <v>5945</v>
      </c>
    </row>
    <row r="3" spans="1:4" ht="15" customHeight="1" x14ac:dyDescent="0.3">
      <c r="A3" s="4" t="s">
        <v>5</v>
      </c>
      <c r="B3" s="4">
        <v>3114</v>
      </c>
      <c r="C3" s="4">
        <v>501</v>
      </c>
      <c r="D3" s="4">
        <v>3615</v>
      </c>
    </row>
    <row r="4" spans="1:4" ht="15" customHeight="1" x14ac:dyDescent="0.3">
      <c r="A4" s="3" t="s">
        <v>6</v>
      </c>
      <c r="B4" s="3">
        <v>7262</v>
      </c>
      <c r="C4" s="3">
        <v>955</v>
      </c>
      <c r="D4" s="3">
        <v>8217</v>
      </c>
    </row>
    <row r="5" spans="1:4" ht="15" customHeight="1" x14ac:dyDescent="0.3">
      <c r="A5" s="4" t="s">
        <v>7</v>
      </c>
      <c r="B5" s="4">
        <v>151</v>
      </c>
      <c r="C5" s="4">
        <v>19</v>
      </c>
      <c r="D5" s="4">
        <v>170</v>
      </c>
    </row>
    <row r="6" spans="1:4" ht="15" customHeight="1" x14ac:dyDescent="0.3">
      <c r="A6" s="3" t="s">
        <v>8</v>
      </c>
      <c r="B6" s="3">
        <v>5368</v>
      </c>
      <c r="C6" s="3">
        <v>891</v>
      </c>
      <c r="D6" s="3">
        <v>6259</v>
      </c>
    </row>
    <row r="7" spans="1:4" ht="15" customHeight="1" x14ac:dyDescent="0.3">
      <c r="A7" s="4" t="s">
        <v>9</v>
      </c>
      <c r="B7" s="4">
        <v>534</v>
      </c>
      <c r="C7" s="4">
        <v>409</v>
      </c>
      <c r="D7" s="4">
        <v>943</v>
      </c>
    </row>
    <row r="8" spans="1:4" ht="15" customHeight="1" x14ac:dyDescent="0.3">
      <c r="A8" s="3" t="s">
        <v>10</v>
      </c>
      <c r="B8" s="3">
        <v>447</v>
      </c>
      <c r="C8" s="3">
        <v>87</v>
      </c>
      <c r="D8" s="3">
        <v>534</v>
      </c>
    </row>
    <row r="9" spans="1:4" ht="15" customHeight="1" x14ac:dyDescent="0.3">
      <c r="A9" s="4" t="s">
        <v>11</v>
      </c>
      <c r="B9" s="4">
        <v>244</v>
      </c>
      <c r="C9" s="4">
        <v>47</v>
      </c>
      <c r="D9" s="4">
        <v>291</v>
      </c>
    </row>
    <row r="10" spans="1:4" ht="15" customHeight="1" x14ac:dyDescent="0.3">
      <c r="A10" s="3" t="s">
        <v>12</v>
      </c>
      <c r="B10" s="3">
        <v>30</v>
      </c>
      <c r="C10" s="3"/>
      <c r="D10" s="3">
        <v>30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59</v>
      </c>
      <c r="C12" s="5">
        <v>4</v>
      </c>
      <c r="D12" s="5">
        <v>63</v>
      </c>
    </row>
    <row r="13" spans="1:4" ht="15" customHeight="1" x14ac:dyDescent="0.3">
      <c r="A13" s="6" t="s">
        <v>15</v>
      </c>
      <c r="B13" s="6">
        <v>140</v>
      </c>
      <c r="C13" s="6">
        <v>44</v>
      </c>
      <c r="D13" s="6">
        <v>184</v>
      </c>
    </row>
    <row r="14" spans="1:4" ht="15" customHeight="1" x14ac:dyDescent="0.3">
      <c r="A14" s="5" t="s">
        <v>16</v>
      </c>
      <c r="B14" s="5">
        <v>597</v>
      </c>
      <c r="C14" s="5">
        <v>97</v>
      </c>
      <c r="D14" s="5">
        <v>694</v>
      </c>
    </row>
    <row r="15" spans="1:4" ht="15" customHeight="1" x14ac:dyDescent="0.3">
      <c r="A15" s="6" t="s">
        <v>17</v>
      </c>
      <c r="B15" s="6">
        <v>255</v>
      </c>
      <c r="C15" s="6">
        <v>30</v>
      </c>
      <c r="D15" s="6">
        <v>285</v>
      </c>
    </row>
    <row r="16" spans="1:4" ht="15" customHeight="1" x14ac:dyDescent="0.3">
      <c r="A16" s="3" t="s">
        <v>18</v>
      </c>
      <c r="B16" s="3">
        <v>209</v>
      </c>
      <c r="C16" s="3">
        <v>52</v>
      </c>
      <c r="D16" s="3">
        <v>261</v>
      </c>
    </row>
    <row r="17" spans="1:4" ht="15" customHeight="1" x14ac:dyDescent="0.3">
      <c r="A17" s="4" t="s">
        <v>19</v>
      </c>
      <c r="B17" s="4">
        <v>1397</v>
      </c>
      <c r="C17" s="4">
        <v>557</v>
      </c>
      <c r="D17" s="4">
        <v>1954</v>
      </c>
    </row>
    <row r="18" spans="1:4" ht="15" customHeight="1" x14ac:dyDescent="0.3">
      <c r="A18" s="3" t="s">
        <v>20</v>
      </c>
      <c r="B18" s="3">
        <v>98</v>
      </c>
      <c r="C18" s="3">
        <v>67</v>
      </c>
      <c r="D18" s="3">
        <v>165</v>
      </c>
    </row>
    <row r="19" spans="1:4" ht="15" customHeight="1" x14ac:dyDescent="0.3">
      <c r="A19" s="4" t="s">
        <v>21</v>
      </c>
      <c r="B19" s="4">
        <v>1654</v>
      </c>
      <c r="C19" s="4">
        <v>380</v>
      </c>
      <c r="D19" s="4">
        <v>2034</v>
      </c>
    </row>
    <row r="20" spans="1:4" ht="15" customHeight="1" x14ac:dyDescent="0.3">
      <c r="A20" s="3" t="s">
        <v>22</v>
      </c>
      <c r="B20" s="3">
        <v>7</v>
      </c>
      <c r="C20" s="3">
        <v>1</v>
      </c>
      <c r="D20" s="3">
        <v>8</v>
      </c>
    </row>
    <row r="21" spans="1:4" ht="15" customHeight="1" x14ac:dyDescent="0.3">
      <c r="A21" s="4" t="s">
        <v>23</v>
      </c>
      <c r="B21" s="4">
        <v>1618</v>
      </c>
      <c r="C21" s="4">
        <v>510</v>
      </c>
      <c r="D21" s="4">
        <v>2128</v>
      </c>
    </row>
    <row r="22" spans="1:4" ht="15" customHeight="1" x14ac:dyDescent="0.3">
      <c r="A22" s="3" t="s">
        <v>24</v>
      </c>
      <c r="B22" s="3">
        <v>284</v>
      </c>
      <c r="C22" s="3">
        <v>68</v>
      </c>
      <c r="D22" s="3">
        <v>352</v>
      </c>
    </row>
    <row r="23" spans="1:4" ht="15" customHeight="1" x14ac:dyDescent="0.3">
      <c r="A23" s="4" t="s">
        <v>25</v>
      </c>
      <c r="B23" s="4">
        <v>1367</v>
      </c>
      <c r="C23" s="4">
        <v>479</v>
      </c>
      <c r="D23" s="4">
        <v>1846</v>
      </c>
    </row>
    <row r="24" spans="1:4" ht="15" customHeight="1" x14ac:dyDescent="0.3">
      <c r="A24" s="3" t="s">
        <v>26</v>
      </c>
      <c r="B24" s="3">
        <v>11401</v>
      </c>
      <c r="C24" s="3">
        <v>1720</v>
      </c>
      <c r="D24" s="3">
        <v>13121</v>
      </c>
    </row>
    <row r="25" spans="1:4" ht="15" customHeight="1" x14ac:dyDescent="0.3">
      <c r="A25" s="4" t="s">
        <v>27</v>
      </c>
      <c r="B25" s="4">
        <v>499</v>
      </c>
      <c r="C25" s="4">
        <v>123</v>
      </c>
      <c r="D25" s="4">
        <v>622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451</v>
      </c>
      <c r="C27" s="4">
        <v>225</v>
      </c>
      <c r="D27" s="4">
        <v>676</v>
      </c>
    </row>
    <row r="28" spans="1:4" ht="15" customHeight="1" x14ac:dyDescent="0.3">
      <c r="A28" s="3" t="s">
        <v>30</v>
      </c>
      <c r="B28" s="3">
        <v>301</v>
      </c>
      <c r="C28" s="3">
        <v>170</v>
      </c>
      <c r="D28" s="3">
        <v>471</v>
      </c>
    </row>
    <row r="29" spans="1:4" ht="15" customHeight="1" x14ac:dyDescent="0.3">
      <c r="A29" s="4" t="s">
        <v>31</v>
      </c>
      <c r="B29" s="4">
        <v>2383</v>
      </c>
      <c r="C29" s="4">
        <v>790</v>
      </c>
      <c r="D29" s="4">
        <v>3173</v>
      </c>
    </row>
    <row r="30" spans="1:4" ht="15" customHeight="1" x14ac:dyDescent="0.3">
      <c r="A30" s="3" t="s">
        <v>32</v>
      </c>
      <c r="B30" s="3">
        <v>9</v>
      </c>
      <c r="C30" s="3">
        <v>25</v>
      </c>
      <c r="D30" s="3">
        <v>34</v>
      </c>
    </row>
    <row r="31" spans="1:4" ht="15" customHeight="1" x14ac:dyDescent="0.3">
      <c r="A31" s="4" t="s">
        <v>33</v>
      </c>
      <c r="B31" s="4">
        <v>326</v>
      </c>
      <c r="C31" s="4">
        <v>92</v>
      </c>
      <c r="D31" s="4">
        <v>418</v>
      </c>
    </row>
    <row r="32" spans="1:4" ht="15" customHeight="1" x14ac:dyDescent="0.3">
      <c r="A32" s="3" t="s">
        <v>34</v>
      </c>
      <c r="B32" s="3">
        <v>1384</v>
      </c>
      <c r="C32" s="3">
        <v>311</v>
      </c>
      <c r="D32" s="3">
        <v>1695</v>
      </c>
    </row>
    <row r="33" spans="1:4" ht="15" customHeight="1" x14ac:dyDescent="0.3">
      <c r="A33" s="4" t="s">
        <v>35</v>
      </c>
      <c r="B33" s="4">
        <v>906</v>
      </c>
      <c r="C33" s="4">
        <v>295</v>
      </c>
      <c r="D33" s="4">
        <v>1201</v>
      </c>
    </row>
    <row r="34" spans="1:4" ht="15" customHeight="1" x14ac:dyDescent="0.3">
      <c r="A34" s="3" t="s">
        <v>36</v>
      </c>
      <c r="B34" s="3">
        <v>510</v>
      </c>
      <c r="C34" s="3">
        <v>143</v>
      </c>
      <c r="D34" s="3">
        <v>653</v>
      </c>
    </row>
    <row r="35" spans="1:4" ht="15" customHeight="1" x14ac:dyDescent="0.3">
      <c r="A35" s="4" t="s">
        <v>37</v>
      </c>
      <c r="B35" s="4">
        <v>4558</v>
      </c>
      <c r="C35" s="4">
        <v>925</v>
      </c>
      <c r="D35" s="4">
        <v>5483</v>
      </c>
    </row>
    <row r="36" spans="1:4" ht="15" customHeight="1" x14ac:dyDescent="0.3">
      <c r="A36" s="3" t="s">
        <v>38</v>
      </c>
      <c r="B36" s="3">
        <v>801</v>
      </c>
      <c r="C36" s="3">
        <v>160</v>
      </c>
      <c r="D36" s="3">
        <v>961</v>
      </c>
    </row>
    <row r="37" spans="1:4" ht="15" customHeight="1" x14ac:dyDescent="0.3">
      <c r="A37" s="4" t="s">
        <v>39</v>
      </c>
      <c r="B37" s="4">
        <v>3559</v>
      </c>
      <c r="C37" s="4">
        <v>521</v>
      </c>
      <c r="D37" s="4">
        <v>4080</v>
      </c>
    </row>
    <row r="38" spans="1:4" ht="15" customHeight="1" x14ac:dyDescent="0.3">
      <c r="A38" s="3" t="s">
        <v>40</v>
      </c>
      <c r="B38" s="3">
        <v>327</v>
      </c>
      <c r="C38" s="3">
        <v>33</v>
      </c>
      <c r="D38" s="3">
        <v>360</v>
      </c>
    </row>
    <row r="39" spans="1:4" ht="15" customHeight="1" x14ac:dyDescent="0.3">
      <c r="A39" s="4" t="s">
        <v>41</v>
      </c>
      <c r="B39" s="4">
        <v>77</v>
      </c>
      <c r="C39" s="4">
        <v>139</v>
      </c>
      <c r="D39" s="4">
        <v>216</v>
      </c>
    </row>
    <row r="40" spans="1:4" ht="15" customHeight="1" x14ac:dyDescent="0.3">
      <c r="A40" s="7" t="s">
        <v>42</v>
      </c>
      <c r="B40" s="7">
        <v>102</v>
      </c>
      <c r="C40" s="7"/>
      <c r="D40" s="7">
        <v>102</v>
      </c>
    </row>
    <row r="41" spans="1:4" ht="15" customHeight="1" x14ac:dyDescent="0.3">
      <c r="A41" s="8" t="s">
        <v>43</v>
      </c>
      <c r="B41" s="8">
        <v>22</v>
      </c>
      <c r="C41" s="8">
        <v>4</v>
      </c>
      <c r="D41" s="8">
        <v>26</v>
      </c>
    </row>
    <row r="42" spans="1:4" ht="15" customHeight="1" x14ac:dyDescent="0.3">
      <c r="A42" s="7" t="s">
        <v>44</v>
      </c>
      <c r="B42" s="7">
        <v>2</v>
      </c>
      <c r="C42" s="7"/>
      <c r="D42" s="7">
        <v>2</v>
      </c>
    </row>
    <row r="43" spans="1:4" ht="15" customHeight="1" x14ac:dyDescent="0.3">
      <c r="A43" s="8" t="s">
        <v>45</v>
      </c>
      <c r="B43" s="8"/>
      <c r="C43" s="8"/>
      <c r="D43" s="8"/>
    </row>
    <row r="44" spans="1:4" ht="15" customHeight="1" x14ac:dyDescent="0.3">
      <c r="A44" s="3" t="s">
        <v>46</v>
      </c>
      <c r="B44" s="3">
        <v>363</v>
      </c>
      <c r="C44" s="3">
        <v>68</v>
      </c>
      <c r="D44" s="3">
        <v>431</v>
      </c>
    </row>
    <row r="45" spans="1:4" ht="15" customHeight="1" x14ac:dyDescent="0.3">
      <c r="A45" s="4" t="s">
        <v>47</v>
      </c>
      <c r="B45" s="4">
        <v>1363</v>
      </c>
      <c r="C45" s="4">
        <v>470</v>
      </c>
      <c r="D45" s="4">
        <v>1833</v>
      </c>
    </row>
    <row r="46" spans="1:4" ht="15" customHeight="1" x14ac:dyDescent="0.3">
      <c r="A46" s="3" t="s">
        <v>48</v>
      </c>
      <c r="B46" s="3">
        <v>4253</v>
      </c>
      <c r="C46" s="3">
        <v>726</v>
      </c>
      <c r="D46" s="3">
        <v>4979</v>
      </c>
    </row>
    <row r="47" spans="1:4" ht="15" customHeight="1" x14ac:dyDescent="0.3">
      <c r="A47" s="4" t="s">
        <v>49</v>
      </c>
      <c r="B47" s="4">
        <v>1667</v>
      </c>
      <c r="C47" s="4">
        <v>164</v>
      </c>
      <c r="D47" s="4">
        <v>1831</v>
      </c>
    </row>
    <row r="48" spans="1:4" ht="15" customHeight="1" x14ac:dyDescent="0.3">
      <c r="A48" s="3" t="s">
        <v>50</v>
      </c>
      <c r="B48" s="3">
        <v>459</v>
      </c>
      <c r="C48" s="3">
        <v>279</v>
      </c>
      <c r="D48" s="3">
        <v>738</v>
      </c>
    </row>
    <row r="49" spans="1:4" ht="15" customHeight="1" x14ac:dyDescent="0.3">
      <c r="A49" s="4" t="s">
        <v>51</v>
      </c>
      <c r="B49" s="4">
        <v>3630</v>
      </c>
      <c r="C49" s="4">
        <v>1037</v>
      </c>
      <c r="D49" s="4">
        <v>4667</v>
      </c>
    </row>
    <row r="50" spans="1:4" ht="15" customHeight="1" x14ac:dyDescent="0.3">
      <c r="A50" s="3" t="s">
        <v>52</v>
      </c>
      <c r="B50" s="3">
        <v>381</v>
      </c>
      <c r="C50" s="3">
        <v>97</v>
      </c>
      <c r="D50" s="3">
        <v>478</v>
      </c>
    </row>
    <row r="51" spans="1:4" ht="15" customHeight="1" x14ac:dyDescent="0.3">
      <c r="A51" s="4" t="s">
        <v>53</v>
      </c>
      <c r="B51" s="4">
        <v>863</v>
      </c>
      <c r="C51" s="4">
        <v>313</v>
      </c>
      <c r="D51" s="4">
        <v>1176</v>
      </c>
    </row>
    <row r="52" spans="1:4" ht="15" customHeight="1" x14ac:dyDescent="0.3">
      <c r="A52" s="3" t="s">
        <v>54</v>
      </c>
      <c r="B52" s="3">
        <v>67</v>
      </c>
      <c r="C52" s="3">
        <v>73</v>
      </c>
      <c r="D52" s="3">
        <v>140</v>
      </c>
    </row>
    <row r="53" spans="1:4" ht="15" customHeight="1" x14ac:dyDescent="0.3">
      <c r="A53" s="4" t="s">
        <v>55</v>
      </c>
      <c r="B53" s="4">
        <v>249</v>
      </c>
      <c r="C53" s="4">
        <v>19</v>
      </c>
      <c r="D53" s="4">
        <v>268</v>
      </c>
    </row>
    <row r="54" spans="1:4" ht="15" customHeight="1" x14ac:dyDescent="0.3">
      <c r="A54" s="3" t="s">
        <v>56</v>
      </c>
      <c r="B54" s="3">
        <v>633</v>
      </c>
      <c r="C54" s="3">
        <v>302</v>
      </c>
      <c r="D54" s="3">
        <v>935</v>
      </c>
    </row>
    <row r="55" spans="1:4" ht="15" customHeight="1" x14ac:dyDescent="0.3">
      <c r="A55" s="6" t="s">
        <v>58</v>
      </c>
      <c r="B55" s="6">
        <f>SUM(B12,B13,B14,B15)</f>
        <v>1051</v>
      </c>
      <c r="C55" s="6">
        <f t="shared" ref="C55:D55" si="0">SUM(C12,C13,C14,C15)</f>
        <v>175</v>
      </c>
      <c r="D55" s="6">
        <f t="shared" si="0"/>
        <v>1226</v>
      </c>
    </row>
    <row r="56" spans="1:4" ht="15" customHeight="1" x14ac:dyDescent="0.3">
      <c r="A56" s="8" t="s">
        <v>57</v>
      </c>
      <c r="B56" s="8">
        <f>SUM(B40,B41,B42,B43)</f>
        <v>126</v>
      </c>
      <c r="C56" s="8">
        <f t="shared" ref="C56:D56" si="1">SUM(C40,C41,C42,C43)</f>
        <v>4</v>
      </c>
      <c r="D56" s="8">
        <f t="shared" si="1"/>
        <v>130</v>
      </c>
    </row>
  </sheetData>
  <autoFilter ref="A1:D5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5522</v>
      </c>
      <c r="C2" s="3">
        <v>1359</v>
      </c>
      <c r="D2" s="3">
        <v>6881</v>
      </c>
    </row>
    <row r="3" spans="1:4" ht="15" customHeight="1" x14ac:dyDescent="0.3">
      <c r="A3" s="4" t="s">
        <v>5</v>
      </c>
      <c r="B3" s="4">
        <v>3453</v>
      </c>
      <c r="C3" s="4">
        <v>719</v>
      </c>
      <c r="D3" s="4">
        <v>4172</v>
      </c>
    </row>
    <row r="4" spans="1:4" ht="15" customHeight="1" x14ac:dyDescent="0.3">
      <c r="A4" s="3" t="s">
        <v>6</v>
      </c>
      <c r="B4" s="3">
        <v>9323</v>
      </c>
      <c r="C4" s="3">
        <v>1254</v>
      </c>
      <c r="D4" s="3">
        <v>10577</v>
      </c>
    </row>
    <row r="5" spans="1:4" ht="15" customHeight="1" x14ac:dyDescent="0.3">
      <c r="A5" s="4" t="s">
        <v>7</v>
      </c>
      <c r="B5" s="4">
        <v>388</v>
      </c>
      <c r="C5" s="4">
        <v>36</v>
      </c>
      <c r="D5" s="4">
        <v>424</v>
      </c>
    </row>
    <row r="6" spans="1:4" ht="15" customHeight="1" x14ac:dyDescent="0.3">
      <c r="A6" s="3" t="s">
        <v>8</v>
      </c>
      <c r="B6" s="3">
        <v>6655</v>
      </c>
      <c r="C6" s="3">
        <v>956</v>
      </c>
      <c r="D6" s="3">
        <v>7611</v>
      </c>
    </row>
    <row r="7" spans="1:4" ht="15" customHeight="1" x14ac:dyDescent="0.3">
      <c r="A7" s="4" t="s">
        <v>9</v>
      </c>
      <c r="B7" s="4">
        <v>393</v>
      </c>
      <c r="C7" s="4">
        <v>240</v>
      </c>
      <c r="D7" s="4">
        <v>633</v>
      </c>
    </row>
    <row r="8" spans="1:4" ht="15" customHeight="1" x14ac:dyDescent="0.3">
      <c r="A8" s="3" t="s">
        <v>10</v>
      </c>
      <c r="B8" s="3">
        <v>532</v>
      </c>
      <c r="C8" s="3">
        <v>103</v>
      </c>
      <c r="D8" s="3">
        <v>635</v>
      </c>
    </row>
    <row r="9" spans="1:4" ht="15" customHeight="1" x14ac:dyDescent="0.3">
      <c r="A9" s="4" t="s">
        <v>11</v>
      </c>
      <c r="B9" s="4">
        <v>348</v>
      </c>
      <c r="C9" s="4">
        <v>68</v>
      </c>
      <c r="D9" s="4">
        <v>416</v>
      </c>
    </row>
    <row r="10" spans="1:4" ht="15" customHeight="1" x14ac:dyDescent="0.3">
      <c r="A10" s="3" t="s">
        <v>12</v>
      </c>
      <c r="B10" s="3">
        <v>85</v>
      </c>
      <c r="C10" s="3"/>
      <c r="D10" s="3">
        <v>85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33</v>
      </c>
      <c r="C12" s="5">
        <v>4</v>
      </c>
      <c r="D12" s="5">
        <v>37</v>
      </c>
    </row>
    <row r="13" spans="1:4" ht="15" customHeight="1" x14ac:dyDescent="0.3">
      <c r="A13" s="6" t="s">
        <v>15</v>
      </c>
      <c r="B13" s="6">
        <v>163</v>
      </c>
      <c r="C13" s="6">
        <v>27</v>
      </c>
      <c r="D13" s="6">
        <v>190</v>
      </c>
    </row>
    <row r="14" spans="1:4" ht="15" customHeight="1" x14ac:dyDescent="0.3">
      <c r="A14" s="5" t="s">
        <v>16</v>
      </c>
      <c r="B14" s="5">
        <v>598</v>
      </c>
      <c r="C14" s="5">
        <v>107</v>
      </c>
      <c r="D14" s="5">
        <v>705</v>
      </c>
    </row>
    <row r="15" spans="1:4" ht="15" customHeight="1" x14ac:dyDescent="0.3">
      <c r="A15" s="6" t="s">
        <v>17</v>
      </c>
      <c r="B15" s="6">
        <v>380</v>
      </c>
      <c r="C15" s="6">
        <v>56</v>
      </c>
      <c r="D15" s="6">
        <v>436</v>
      </c>
    </row>
    <row r="16" spans="1:4" ht="15" customHeight="1" x14ac:dyDescent="0.3">
      <c r="A16" s="3" t="s">
        <v>18</v>
      </c>
      <c r="B16" s="3">
        <v>310</v>
      </c>
      <c r="C16" s="3">
        <v>53</v>
      </c>
      <c r="D16" s="3">
        <v>363</v>
      </c>
    </row>
    <row r="17" spans="1:4" ht="15" customHeight="1" x14ac:dyDescent="0.3">
      <c r="A17" s="4" t="s">
        <v>19</v>
      </c>
      <c r="B17" s="4">
        <v>2105</v>
      </c>
      <c r="C17" s="4">
        <v>670</v>
      </c>
      <c r="D17" s="4">
        <v>2775</v>
      </c>
    </row>
    <row r="18" spans="1:4" ht="15" customHeight="1" x14ac:dyDescent="0.3">
      <c r="A18" s="3" t="s">
        <v>20</v>
      </c>
      <c r="B18" s="3">
        <v>109</v>
      </c>
      <c r="C18" s="3">
        <v>77</v>
      </c>
      <c r="D18" s="3">
        <v>186</v>
      </c>
    </row>
    <row r="19" spans="1:4" ht="15" customHeight="1" x14ac:dyDescent="0.3">
      <c r="A19" s="4" t="s">
        <v>21</v>
      </c>
      <c r="B19" s="4">
        <v>2149</v>
      </c>
      <c r="C19" s="4">
        <v>400</v>
      </c>
      <c r="D19" s="4">
        <v>2549</v>
      </c>
    </row>
    <row r="20" spans="1:4" ht="15" customHeight="1" x14ac:dyDescent="0.3">
      <c r="A20" s="3" t="s">
        <v>22</v>
      </c>
      <c r="B20" s="3">
        <v>3</v>
      </c>
      <c r="C20" s="3">
        <v>1</v>
      </c>
      <c r="D20" s="3">
        <v>4</v>
      </c>
    </row>
    <row r="21" spans="1:4" ht="15" customHeight="1" x14ac:dyDescent="0.3">
      <c r="A21" s="4" t="s">
        <v>23</v>
      </c>
      <c r="B21" s="4">
        <v>1931</v>
      </c>
      <c r="C21" s="4">
        <v>464</v>
      </c>
      <c r="D21" s="4">
        <v>2395</v>
      </c>
    </row>
    <row r="22" spans="1:4" ht="15" customHeight="1" x14ac:dyDescent="0.3">
      <c r="A22" s="3" t="s">
        <v>24</v>
      </c>
      <c r="B22" s="3">
        <v>416</v>
      </c>
      <c r="C22" s="3">
        <v>79</v>
      </c>
      <c r="D22" s="3">
        <v>495</v>
      </c>
    </row>
    <row r="23" spans="1:4" ht="15" customHeight="1" x14ac:dyDescent="0.3">
      <c r="A23" s="4" t="s">
        <v>25</v>
      </c>
      <c r="B23" s="4">
        <v>2874</v>
      </c>
      <c r="C23" s="4">
        <v>584</v>
      </c>
      <c r="D23" s="4">
        <v>3458</v>
      </c>
    </row>
    <row r="24" spans="1:4" ht="15" customHeight="1" x14ac:dyDescent="0.3">
      <c r="A24" s="3" t="s">
        <v>26</v>
      </c>
      <c r="B24" s="3">
        <v>12451</v>
      </c>
      <c r="C24" s="3">
        <v>1572</v>
      </c>
      <c r="D24" s="3">
        <v>14023</v>
      </c>
    </row>
    <row r="25" spans="1:4" ht="15" customHeight="1" x14ac:dyDescent="0.3">
      <c r="A25" s="4" t="s">
        <v>27</v>
      </c>
      <c r="B25" s="4">
        <v>571</v>
      </c>
      <c r="C25" s="4">
        <v>151</v>
      </c>
      <c r="D25" s="4">
        <v>722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651</v>
      </c>
      <c r="C27" s="4">
        <v>225</v>
      </c>
      <c r="D27" s="4">
        <v>876</v>
      </c>
    </row>
    <row r="28" spans="1:4" ht="15" customHeight="1" x14ac:dyDescent="0.3">
      <c r="A28" s="3" t="s">
        <v>30</v>
      </c>
      <c r="B28" s="3">
        <v>472</v>
      </c>
      <c r="C28" s="3">
        <v>160</v>
      </c>
      <c r="D28" s="3">
        <v>632</v>
      </c>
    </row>
    <row r="29" spans="1:4" ht="15" customHeight="1" x14ac:dyDescent="0.3">
      <c r="A29" s="4" t="s">
        <v>31</v>
      </c>
      <c r="B29" s="4">
        <v>3100</v>
      </c>
      <c r="C29" s="4">
        <v>882</v>
      </c>
      <c r="D29" s="4">
        <v>3982</v>
      </c>
    </row>
    <row r="30" spans="1:4" ht="15" customHeight="1" x14ac:dyDescent="0.3">
      <c r="A30" s="3" t="s">
        <v>32</v>
      </c>
      <c r="B30" s="3">
        <v>7</v>
      </c>
      <c r="C30" s="3">
        <v>20</v>
      </c>
      <c r="D30" s="3">
        <v>27</v>
      </c>
    </row>
    <row r="31" spans="1:4" ht="15" customHeight="1" x14ac:dyDescent="0.3">
      <c r="A31" s="4" t="s">
        <v>33</v>
      </c>
      <c r="B31" s="4">
        <v>266</v>
      </c>
      <c r="C31" s="4">
        <v>94</v>
      </c>
      <c r="D31" s="4">
        <v>360</v>
      </c>
    </row>
    <row r="32" spans="1:4" ht="15" customHeight="1" x14ac:dyDescent="0.3">
      <c r="A32" s="3" t="s">
        <v>34</v>
      </c>
      <c r="B32" s="3">
        <v>1837</v>
      </c>
      <c r="C32" s="3">
        <v>335</v>
      </c>
      <c r="D32" s="3">
        <v>2172</v>
      </c>
    </row>
    <row r="33" spans="1:4" ht="15" customHeight="1" x14ac:dyDescent="0.3">
      <c r="A33" s="4" t="s">
        <v>35</v>
      </c>
      <c r="B33" s="4">
        <v>1540</v>
      </c>
      <c r="C33" s="4">
        <v>348</v>
      </c>
      <c r="D33" s="4">
        <v>1888</v>
      </c>
    </row>
    <row r="34" spans="1:4" ht="15" customHeight="1" x14ac:dyDescent="0.3">
      <c r="A34" s="3" t="s">
        <v>36</v>
      </c>
      <c r="B34" s="3">
        <v>563</v>
      </c>
      <c r="C34" s="3">
        <v>147</v>
      </c>
      <c r="D34" s="3">
        <v>710</v>
      </c>
    </row>
    <row r="35" spans="1:4" ht="15" customHeight="1" x14ac:dyDescent="0.3">
      <c r="A35" s="4" t="s">
        <v>37</v>
      </c>
      <c r="B35" s="4">
        <v>8782</v>
      </c>
      <c r="C35" s="4">
        <v>1031</v>
      </c>
      <c r="D35" s="4">
        <v>9813</v>
      </c>
    </row>
    <row r="36" spans="1:4" ht="15" customHeight="1" x14ac:dyDescent="0.3">
      <c r="A36" s="3" t="s">
        <v>38</v>
      </c>
      <c r="B36" s="3">
        <v>1035</v>
      </c>
      <c r="C36" s="3">
        <v>176</v>
      </c>
      <c r="D36" s="3">
        <v>1211</v>
      </c>
    </row>
    <row r="37" spans="1:4" ht="15" customHeight="1" x14ac:dyDescent="0.3">
      <c r="A37" s="4" t="s">
        <v>39</v>
      </c>
      <c r="B37" s="4">
        <v>4544</v>
      </c>
      <c r="C37" s="4">
        <v>550</v>
      </c>
      <c r="D37" s="4">
        <v>5094</v>
      </c>
    </row>
    <row r="38" spans="1:4" ht="15" customHeight="1" x14ac:dyDescent="0.3">
      <c r="A38" s="3" t="s">
        <v>40</v>
      </c>
      <c r="B38" s="3">
        <v>574</v>
      </c>
      <c r="C38" s="3">
        <v>78</v>
      </c>
      <c r="D38" s="3">
        <v>652</v>
      </c>
    </row>
    <row r="39" spans="1:4" ht="15" customHeight="1" x14ac:dyDescent="0.3">
      <c r="A39" s="4" t="s">
        <v>41</v>
      </c>
      <c r="B39" s="4">
        <v>174</v>
      </c>
      <c r="C39" s="4">
        <v>40</v>
      </c>
      <c r="D39" s="4">
        <v>214</v>
      </c>
    </row>
    <row r="40" spans="1:4" ht="15" customHeight="1" x14ac:dyDescent="0.3">
      <c r="A40" s="7" t="s">
        <v>42</v>
      </c>
      <c r="B40" s="7"/>
      <c r="C40" s="7"/>
      <c r="D40" s="7"/>
    </row>
    <row r="41" spans="1:4" ht="15" customHeight="1" x14ac:dyDescent="0.3">
      <c r="A41" s="8" t="s">
        <v>43</v>
      </c>
      <c r="B41" s="8"/>
      <c r="C41" s="8"/>
      <c r="D41" s="8"/>
    </row>
    <row r="42" spans="1:4" ht="15" customHeight="1" x14ac:dyDescent="0.3">
      <c r="A42" s="7" t="s">
        <v>44</v>
      </c>
      <c r="B42" s="7"/>
      <c r="C42" s="7">
        <v>1</v>
      </c>
      <c r="D42" s="7">
        <v>1</v>
      </c>
    </row>
    <row r="43" spans="1:4" ht="15" customHeight="1" x14ac:dyDescent="0.3">
      <c r="A43" s="8" t="s">
        <v>45</v>
      </c>
      <c r="B43" s="8"/>
      <c r="C43" s="8"/>
      <c r="D43" s="8"/>
    </row>
    <row r="44" spans="1:4" ht="15" customHeight="1" x14ac:dyDescent="0.3">
      <c r="A44" s="3" t="s">
        <v>46</v>
      </c>
      <c r="B44" s="3">
        <v>508</v>
      </c>
      <c r="C44" s="3">
        <v>70</v>
      </c>
      <c r="D44" s="3">
        <v>578</v>
      </c>
    </row>
    <row r="45" spans="1:4" ht="15" customHeight="1" x14ac:dyDescent="0.3">
      <c r="A45" s="4" t="s">
        <v>47</v>
      </c>
      <c r="B45" s="4">
        <v>1583</v>
      </c>
      <c r="C45" s="4">
        <v>444</v>
      </c>
      <c r="D45" s="4">
        <v>2027</v>
      </c>
    </row>
    <row r="46" spans="1:4" ht="15" customHeight="1" x14ac:dyDescent="0.3">
      <c r="A46" s="3" t="s">
        <v>48</v>
      </c>
      <c r="B46" s="3">
        <v>5380</v>
      </c>
      <c r="C46" s="3">
        <v>782</v>
      </c>
      <c r="D46" s="3">
        <v>6162</v>
      </c>
    </row>
    <row r="47" spans="1:4" ht="15" customHeight="1" x14ac:dyDescent="0.3">
      <c r="A47" s="4" t="s">
        <v>49</v>
      </c>
      <c r="B47" s="4">
        <v>2567</v>
      </c>
      <c r="C47" s="4">
        <v>233</v>
      </c>
      <c r="D47" s="4">
        <v>2800</v>
      </c>
    </row>
    <row r="48" spans="1:4" ht="15" customHeight="1" x14ac:dyDescent="0.3">
      <c r="A48" s="3" t="s">
        <v>50</v>
      </c>
      <c r="B48" s="3">
        <v>661</v>
      </c>
      <c r="C48" s="3">
        <v>251</v>
      </c>
      <c r="D48" s="3">
        <v>912</v>
      </c>
    </row>
    <row r="49" spans="1:4" ht="15" customHeight="1" x14ac:dyDescent="0.3">
      <c r="A49" s="4" t="s">
        <v>51</v>
      </c>
      <c r="B49" s="4">
        <v>4425</v>
      </c>
      <c r="C49" s="4">
        <v>985</v>
      </c>
      <c r="D49" s="4">
        <v>5410</v>
      </c>
    </row>
    <row r="50" spans="1:4" ht="15" customHeight="1" x14ac:dyDescent="0.3">
      <c r="A50" s="3" t="s">
        <v>52</v>
      </c>
      <c r="B50" s="3">
        <v>613</v>
      </c>
      <c r="C50" s="3">
        <v>107</v>
      </c>
      <c r="D50" s="3">
        <v>720</v>
      </c>
    </row>
    <row r="51" spans="1:4" ht="15" customHeight="1" x14ac:dyDescent="0.3">
      <c r="A51" s="4" t="s">
        <v>53</v>
      </c>
      <c r="B51" s="4">
        <v>1060</v>
      </c>
      <c r="C51" s="4">
        <v>341</v>
      </c>
      <c r="D51" s="4">
        <v>1401</v>
      </c>
    </row>
    <row r="52" spans="1:4" ht="15" customHeight="1" x14ac:dyDescent="0.3">
      <c r="A52" s="3" t="s">
        <v>54</v>
      </c>
      <c r="B52" s="3">
        <v>133</v>
      </c>
      <c r="C52" s="3">
        <v>55</v>
      </c>
      <c r="D52" s="3">
        <v>188</v>
      </c>
    </row>
    <row r="53" spans="1:4" ht="15" customHeight="1" x14ac:dyDescent="0.3">
      <c r="A53" s="4" t="s">
        <v>55</v>
      </c>
      <c r="B53" s="4">
        <v>129</v>
      </c>
      <c r="C53" s="4">
        <v>27</v>
      </c>
      <c r="D53" s="4">
        <v>156</v>
      </c>
    </row>
    <row r="54" spans="1:4" ht="15" customHeight="1" x14ac:dyDescent="0.3">
      <c r="A54" s="3" t="s">
        <v>56</v>
      </c>
      <c r="B54" s="3">
        <v>552</v>
      </c>
      <c r="C54" s="3">
        <v>399</v>
      </c>
      <c r="D54" s="3">
        <v>951</v>
      </c>
    </row>
    <row r="55" spans="1:4" ht="15" customHeight="1" x14ac:dyDescent="0.3">
      <c r="A55" s="6" t="s">
        <v>58</v>
      </c>
      <c r="B55" s="6">
        <f>SUM(B12,B13,B14,B15)</f>
        <v>1174</v>
      </c>
      <c r="C55" s="6">
        <f t="shared" ref="C55:D55" si="0">SUM(C12,C13,C14,C15)</f>
        <v>194</v>
      </c>
      <c r="D55" s="6">
        <f t="shared" si="0"/>
        <v>1368</v>
      </c>
    </row>
    <row r="56" spans="1:4" ht="15" customHeight="1" x14ac:dyDescent="0.3">
      <c r="A56" s="8" t="s">
        <v>57</v>
      </c>
      <c r="B56" s="8">
        <f>SUM(B40,B41,B42,B43)</f>
        <v>0</v>
      </c>
      <c r="C56" s="8">
        <f t="shared" ref="C56:D56" si="1">SUM(C40,C41,C42,C43)</f>
        <v>1</v>
      </c>
      <c r="D56" s="8">
        <f t="shared" si="1"/>
        <v>1</v>
      </c>
    </row>
  </sheetData>
  <autoFilter ref="A1:D5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5138</v>
      </c>
      <c r="C2" s="3">
        <v>1459</v>
      </c>
      <c r="D2" s="3">
        <v>6597</v>
      </c>
    </row>
    <row r="3" spans="1:4" ht="15" customHeight="1" x14ac:dyDescent="0.3">
      <c r="A3" s="4" t="s">
        <v>5</v>
      </c>
      <c r="B3" s="4">
        <v>3443</v>
      </c>
      <c r="C3" s="4">
        <v>771</v>
      </c>
      <c r="D3" s="4">
        <v>4214</v>
      </c>
    </row>
    <row r="4" spans="1:4" ht="15" customHeight="1" x14ac:dyDescent="0.3">
      <c r="A4" s="3" t="s">
        <v>6</v>
      </c>
      <c r="B4" s="3">
        <v>8694</v>
      </c>
      <c r="C4" s="3">
        <v>1270</v>
      </c>
      <c r="D4" s="3">
        <v>9964</v>
      </c>
    </row>
    <row r="5" spans="1:4" ht="15" customHeight="1" x14ac:dyDescent="0.3">
      <c r="A5" s="4" t="s">
        <v>7</v>
      </c>
      <c r="B5" s="4">
        <v>250</v>
      </c>
      <c r="C5" s="4">
        <v>31</v>
      </c>
      <c r="D5" s="4">
        <v>281</v>
      </c>
    </row>
    <row r="6" spans="1:4" ht="15" customHeight="1" x14ac:dyDescent="0.3">
      <c r="A6" s="3" t="s">
        <v>8</v>
      </c>
      <c r="B6" s="3">
        <v>6787</v>
      </c>
      <c r="C6" s="3">
        <v>920</v>
      </c>
      <c r="D6" s="3">
        <v>7707</v>
      </c>
    </row>
    <row r="7" spans="1:4" ht="15" customHeight="1" x14ac:dyDescent="0.3">
      <c r="A7" s="4" t="s">
        <v>9</v>
      </c>
      <c r="B7" s="4">
        <v>447</v>
      </c>
      <c r="C7" s="4">
        <v>273</v>
      </c>
      <c r="D7" s="4">
        <v>720</v>
      </c>
    </row>
    <row r="8" spans="1:4" ht="15" customHeight="1" x14ac:dyDescent="0.3">
      <c r="A8" s="3" t="s">
        <v>10</v>
      </c>
      <c r="B8" s="3">
        <v>406</v>
      </c>
      <c r="C8" s="3">
        <v>165</v>
      </c>
      <c r="D8" s="3">
        <v>571</v>
      </c>
    </row>
    <row r="9" spans="1:4" ht="15" customHeight="1" x14ac:dyDescent="0.3">
      <c r="A9" s="4" t="s">
        <v>11</v>
      </c>
      <c r="B9" s="4">
        <v>400</v>
      </c>
      <c r="C9" s="4">
        <v>76</v>
      </c>
      <c r="D9" s="4">
        <v>476</v>
      </c>
    </row>
    <row r="10" spans="1:4" ht="15" customHeight="1" x14ac:dyDescent="0.3">
      <c r="A10" s="3" t="s">
        <v>12</v>
      </c>
      <c r="B10" s="3">
        <v>63</v>
      </c>
      <c r="C10" s="3">
        <v>2</v>
      </c>
      <c r="D10" s="3">
        <v>65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44</v>
      </c>
      <c r="C12" s="5">
        <v>8</v>
      </c>
      <c r="D12" s="5">
        <v>52</v>
      </c>
    </row>
    <row r="13" spans="1:4" ht="15" customHeight="1" x14ac:dyDescent="0.3">
      <c r="A13" s="6" t="s">
        <v>15</v>
      </c>
      <c r="B13" s="6">
        <v>138</v>
      </c>
      <c r="C13" s="6">
        <v>34</v>
      </c>
      <c r="D13" s="6">
        <v>172</v>
      </c>
    </row>
    <row r="14" spans="1:4" ht="15" customHeight="1" x14ac:dyDescent="0.3">
      <c r="A14" s="5" t="s">
        <v>16</v>
      </c>
      <c r="B14" s="5">
        <v>624</v>
      </c>
      <c r="C14" s="5">
        <v>116</v>
      </c>
      <c r="D14" s="5">
        <v>740</v>
      </c>
    </row>
    <row r="15" spans="1:4" ht="15" customHeight="1" x14ac:dyDescent="0.3">
      <c r="A15" s="6" t="s">
        <v>17</v>
      </c>
      <c r="B15" s="6">
        <v>328</v>
      </c>
      <c r="C15" s="6">
        <v>52</v>
      </c>
      <c r="D15" s="6">
        <v>380</v>
      </c>
    </row>
    <row r="16" spans="1:4" ht="15" customHeight="1" x14ac:dyDescent="0.3">
      <c r="A16" s="3" t="s">
        <v>18</v>
      </c>
      <c r="B16" s="3">
        <v>282</v>
      </c>
      <c r="C16" s="3">
        <v>49</v>
      </c>
      <c r="D16" s="3">
        <v>331</v>
      </c>
    </row>
    <row r="17" spans="1:4" ht="15" customHeight="1" x14ac:dyDescent="0.3">
      <c r="A17" s="4" t="s">
        <v>19</v>
      </c>
      <c r="B17" s="4">
        <v>1853</v>
      </c>
      <c r="C17" s="4">
        <v>613</v>
      </c>
      <c r="D17" s="4">
        <v>2466</v>
      </c>
    </row>
    <row r="18" spans="1:4" ht="15" customHeight="1" x14ac:dyDescent="0.3">
      <c r="A18" s="3" t="s">
        <v>20</v>
      </c>
      <c r="B18" s="3">
        <v>133</v>
      </c>
      <c r="C18" s="3">
        <v>52</v>
      </c>
      <c r="D18" s="3">
        <v>185</v>
      </c>
    </row>
    <row r="19" spans="1:4" ht="15" customHeight="1" x14ac:dyDescent="0.3">
      <c r="A19" s="4" t="s">
        <v>21</v>
      </c>
      <c r="B19" s="4">
        <v>2116</v>
      </c>
      <c r="C19" s="4">
        <v>563</v>
      </c>
      <c r="D19" s="4">
        <v>2679</v>
      </c>
    </row>
    <row r="20" spans="1:4" ht="15" customHeight="1" x14ac:dyDescent="0.3">
      <c r="A20" s="3" t="s">
        <v>22</v>
      </c>
      <c r="B20" s="3">
        <v>12</v>
      </c>
      <c r="C20" s="3"/>
      <c r="D20" s="3">
        <v>12</v>
      </c>
    </row>
    <row r="21" spans="1:4" ht="15" customHeight="1" x14ac:dyDescent="0.3">
      <c r="A21" s="4" t="s">
        <v>23</v>
      </c>
      <c r="B21" s="4">
        <v>1697</v>
      </c>
      <c r="C21" s="4">
        <v>549</v>
      </c>
      <c r="D21" s="4">
        <v>2246</v>
      </c>
    </row>
    <row r="22" spans="1:4" ht="15" customHeight="1" x14ac:dyDescent="0.3">
      <c r="A22" s="3" t="s">
        <v>24</v>
      </c>
      <c r="B22" s="3">
        <v>372</v>
      </c>
      <c r="C22" s="3">
        <v>62</v>
      </c>
      <c r="D22" s="3">
        <v>434</v>
      </c>
    </row>
    <row r="23" spans="1:4" ht="15" customHeight="1" x14ac:dyDescent="0.3">
      <c r="A23" s="4" t="s">
        <v>25</v>
      </c>
      <c r="B23" s="4">
        <v>3007</v>
      </c>
      <c r="C23" s="4">
        <v>738</v>
      </c>
      <c r="D23" s="4">
        <v>3745</v>
      </c>
    </row>
    <row r="24" spans="1:4" ht="15" customHeight="1" x14ac:dyDescent="0.3">
      <c r="A24" s="3" t="s">
        <v>26</v>
      </c>
      <c r="B24" s="3">
        <v>12456</v>
      </c>
      <c r="C24" s="3">
        <v>1611</v>
      </c>
      <c r="D24" s="3">
        <v>14067</v>
      </c>
    </row>
    <row r="25" spans="1:4" ht="15" customHeight="1" x14ac:dyDescent="0.3">
      <c r="A25" s="4" t="s">
        <v>27</v>
      </c>
      <c r="B25" s="4">
        <v>476</v>
      </c>
      <c r="C25" s="4">
        <v>103</v>
      </c>
      <c r="D25" s="4">
        <v>579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520</v>
      </c>
      <c r="C27" s="4">
        <v>235</v>
      </c>
      <c r="D27" s="4">
        <v>755</v>
      </c>
    </row>
    <row r="28" spans="1:4" ht="15" customHeight="1" x14ac:dyDescent="0.3">
      <c r="A28" s="3" t="s">
        <v>30</v>
      </c>
      <c r="B28" s="3">
        <v>345</v>
      </c>
      <c r="C28" s="3">
        <v>183</v>
      </c>
      <c r="D28" s="3">
        <v>528</v>
      </c>
    </row>
    <row r="29" spans="1:4" ht="15" customHeight="1" x14ac:dyDescent="0.3">
      <c r="A29" s="4" t="s">
        <v>31</v>
      </c>
      <c r="B29" s="4">
        <v>2595</v>
      </c>
      <c r="C29" s="4">
        <v>844</v>
      </c>
      <c r="D29" s="4">
        <v>3439</v>
      </c>
    </row>
    <row r="30" spans="1:4" ht="15" customHeight="1" x14ac:dyDescent="0.3">
      <c r="A30" s="3" t="s">
        <v>32</v>
      </c>
      <c r="B30" s="3">
        <v>16</v>
      </c>
      <c r="C30" s="3">
        <v>88</v>
      </c>
      <c r="D30" s="3">
        <v>104</v>
      </c>
    </row>
    <row r="31" spans="1:4" ht="15" customHeight="1" x14ac:dyDescent="0.3">
      <c r="A31" s="4" t="s">
        <v>33</v>
      </c>
      <c r="B31" s="4">
        <v>206</v>
      </c>
      <c r="C31" s="4">
        <v>112</v>
      </c>
      <c r="D31" s="4">
        <v>318</v>
      </c>
    </row>
    <row r="32" spans="1:4" ht="15" customHeight="1" x14ac:dyDescent="0.3">
      <c r="A32" s="3" t="s">
        <v>34</v>
      </c>
      <c r="B32" s="3">
        <v>1611</v>
      </c>
      <c r="C32" s="3">
        <v>449</v>
      </c>
      <c r="D32" s="3">
        <v>2060</v>
      </c>
    </row>
    <row r="33" spans="1:4" ht="15" customHeight="1" x14ac:dyDescent="0.3">
      <c r="A33" s="4" t="s">
        <v>35</v>
      </c>
      <c r="B33" s="4">
        <v>1195</v>
      </c>
      <c r="C33" s="4">
        <v>323</v>
      </c>
      <c r="D33" s="4">
        <v>1518</v>
      </c>
    </row>
    <row r="34" spans="1:4" ht="15" customHeight="1" x14ac:dyDescent="0.3">
      <c r="A34" s="3" t="s">
        <v>36</v>
      </c>
      <c r="B34" s="3">
        <v>635</v>
      </c>
      <c r="C34" s="3">
        <v>183</v>
      </c>
      <c r="D34" s="3">
        <v>818</v>
      </c>
    </row>
    <row r="35" spans="1:4" ht="15" customHeight="1" x14ac:dyDescent="0.3">
      <c r="A35" s="4" t="s">
        <v>37</v>
      </c>
      <c r="B35" s="4">
        <v>7295</v>
      </c>
      <c r="C35" s="4">
        <v>1032</v>
      </c>
      <c r="D35" s="4">
        <v>8327</v>
      </c>
    </row>
    <row r="36" spans="1:4" ht="15" customHeight="1" x14ac:dyDescent="0.3">
      <c r="A36" s="3" t="s">
        <v>38</v>
      </c>
      <c r="B36" s="3">
        <v>913</v>
      </c>
      <c r="C36" s="3">
        <v>177</v>
      </c>
      <c r="D36" s="3">
        <v>1090</v>
      </c>
    </row>
    <row r="37" spans="1:4" ht="15" customHeight="1" x14ac:dyDescent="0.3">
      <c r="A37" s="4" t="s">
        <v>39</v>
      </c>
      <c r="B37" s="4">
        <v>4225</v>
      </c>
      <c r="C37" s="4">
        <v>646</v>
      </c>
      <c r="D37" s="4">
        <v>4871</v>
      </c>
    </row>
    <row r="38" spans="1:4" ht="15" customHeight="1" x14ac:dyDescent="0.3">
      <c r="A38" s="3" t="s">
        <v>40</v>
      </c>
      <c r="B38" s="3">
        <v>404</v>
      </c>
      <c r="C38" s="3">
        <v>30</v>
      </c>
      <c r="D38" s="3">
        <v>434</v>
      </c>
    </row>
    <row r="39" spans="1:4" ht="15" customHeight="1" x14ac:dyDescent="0.3">
      <c r="A39" s="4" t="s">
        <v>41</v>
      </c>
      <c r="B39" s="4">
        <v>107</v>
      </c>
      <c r="C39" s="4">
        <v>129</v>
      </c>
      <c r="D39" s="4">
        <v>236</v>
      </c>
    </row>
    <row r="40" spans="1:4" ht="15" customHeight="1" x14ac:dyDescent="0.3">
      <c r="A40" s="7" t="s">
        <v>42</v>
      </c>
      <c r="B40" s="7"/>
      <c r="C40" s="7"/>
      <c r="D40" s="7"/>
    </row>
    <row r="41" spans="1:4" ht="15" customHeight="1" x14ac:dyDescent="0.3">
      <c r="A41" s="8" t="s">
        <v>43</v>
      </c>
      <c r="B41" s="8"/>
      <c r="C41" s="8"/>
      <c r="D41" s="8"/>
    </row>
    <row r="42" spans="1:4" ht="15" customHeight="1" x14ac:dyDescent="0.3">
      <c r="A42" s="7" t="s">
        <v>44</v>
      </c>
      <c r="B42" s="7"/>
      <c r="C42" s="7"/>
      <c r="D42" s="7"/>
    </row>
    <row r="43" spans="1:4" ht="15" customHeight="1" x14ac:dyDescent="0.3">
      <c r="A43" s="8" t="s">
        <v>45</v>
      </c>
      <c r="B43" s="8"/>
      <c r="C43" s="8"/>
      <c r="D43" s="8"/>
    </row>
    <row r="44" spans="1:4" ht="15" customHeight="1" x14ac:dyDescent="0.3">
      <c r="A44" s="3" t="s">
        <v>46</v>
      </c>
      <c r="B44" s="3">
        <v>427</v>
      </c>
      <c r="C44" s="3">
        <v>55</v>
      </c>
      <c r="D44" s="3">
        <v>482</v>
      </c>
    </row>
    <row r="45" spans="1:4" ht="15" customHeight="1" x14ac:dyDescent="0.3">
      <c r="A45" s="4" t="s">
        <v>47</v>
      </c>
      <c r="B45" s="4">
        <v>1710</v>
      </c>
      <c r="C45" s="4">
        <v>506</v>
      </c>
      <c r="D45" s="4">
        <v>2216</v>
      </c>
    </row>
    <row r="46" spans="1:4" ht="15" customHeight="1" x14ac:dyDescent="0.3">
      <c r="A46" s="3" t="s">
        <v>48</v>
      </c>
      <c r="B46" s="3">
        <v>4010</v>
      </c>
      <c r="C46" s="3">
        <v>737</v>
      </c>
      <c r="D46" s="3">
        <v>4747</v>
      </c>
    </row>
    <row r="47" spans="1:4" ht="15" customHeight="1" x14ac:dyDescent="0.3">
      <c r="A47" s="4" t="s">
        <v>49</v>
      </c>
      <c r="B47" s="4">
        <v>2212</v>
      </c>
      <c r="C47" s="4">
        <v>224</v>
      </c>
      <c r="D47" s="4">
        <v>2436</v>
      </c>
    </row>
    <row r="48" spans="1:4" ht="15" customHeight="1" x14ac:dyDescent="0.3">
      <c r="A48" s="3" t="s">
        <v>50</v>
      </c>
      <c r="B48" s="3">
        <v>737</v>
      </c>
      <c r="C48" s="3">
        <v>293</v>
      </c>
      <c r="D48" s="3">
        <v>1030</v>
      </c>
    </row>
    <row r="49" spans="1:4" ht="15" customHeight="1" x14ac:dyDescent="0.3">
      <c r="A49" s="4" t="s">
        <v>51</v>
      </c>
      <c r="B49" s="4">
        <v>3717</v>
      </c>
      <c r="C49" s="4">
        <v>942</v>
      </c>
      <c r="D49" s="4">
        <v>4659</v>
      </c>
    </row>
    <row r="50" spans="1:4" ht="15" customHeight="1" x14ac:dyDescent="0.3">
      <c r="A50" s="3" t="s">
        <v>52</v>
      </c>
      <c r="B50" s="3">
        <v>357</v>
      </c>
      <c r="C50" s="3">
        <v>93</v>
      </c>
      <c r="D50" s="3">
        <v>450</v>
      </c>
    </row>
    <row r="51" spans="1:4" ht="15" customHeight="1" x14ac:dyDescent="0.3">
      <c r="A51" s="4" t="s">
        <v>53</v>
      </c>
      <c r="B51" s="4">
        <v>815</v>
      </c>
      <c r="C51" s="4">
        <v>319</v>
      </c>
      <c r="D51" s="4">
        <v>1134</v>
      </c>
    </row>
    <row r="52" spans="1:4" ht="15" customHeight="1" x14ac:dyDescent="0.3">
      <c r="A52" s="3" t="s">
        <v>54</v>
      </c>
      <c r="B52" s="3">
        <v>108</v>
      </c>
      <c r="C52" s="3">
        <v>26</v>
      </c>
      <c r="D52" s="3">
        <v>134</v>
      </c>
    </row>
    <row r="53" spans="1:4" ht="15" customHeight="1" x14ac:dyDescent="0.3">
      <c r="A53" s="4" t="s">
        <v>55</v>
      </c>
      <c r="B53" s="4">
        <v>97</v>
      </c>
      <c r="C53" s="4">
        <v>36</v>
      </c>
      <c r="D53" s="4">
        <v>133</v>
      </c>
    </row>
    <row r="54" spans="1:4" ht="15" customHeight="1" x14ac:dyDescent="0.3">
      <c r="A54" s="3" t="s">
        <v>56</v>
      </c>
      <c r="B54" s="3">
        <v>365</v>
      </c>
      <c r="C54" s="3">
        <v>304</v>
      </c>
      <c r="D54" s="3">
        <v>669</v>
      </c>
    </row>
    <row r="55" spans="1:4" ht="15" customHeight="1" x14ac:dyDescent="0.3">
      <c r="A55" s="6" t="s">
        <v>58</v>
      </c>
      <c r="B55" s="6">
        <f>SUM(B12,B13,B14,B15)</f>
        <v>1134</v>
      </c>
      <c r="C55" s="6">
        <f t="shared" ref="C55:D55" si="0">SUM(C12,C13,C14,C15)</f>
        <v>210</v>
      </c>
      <c r="D55" s="6">
        <f t="shared" si="0"/>
        <v>1344</v>
      </c>
    </row>
    <row r="56" spans="1:4" ht="15" customHeight="1" x14ac:dyDescent="0.3">
      <c r="A56" s="8" t="s">
        <v>57</v>
      </c>
      <c r="B56" s="8">
        <f>SUM(B40,B41,B42,B43)</f>
        <v>0</v>
      </c>
      <c r="C56" s="8">
        <f t="shared" ref="C56:D56" si="1">SUM(C40,C41,C42,C43)</f>
        <v>0</v>
      </c>
      <c r="D56" s="8">
        <f t="shared" si="1"/>
        <v>0</v>
      </c>
    </row>
  </sheetData>
  <autoFilter ref="A1:D56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4404</v>
      </c>
      <c r="C2" s="3">
        <v>1469</v>
      </c>
      <c r="D2" s="3">
        <v>5873</v>
      </c>
    </row>
    <row r="3" spans="1:4" ht="15" customHeight="1" x14ac:dyDescent="0.3">
      <c r="A3" s="4" t="s">
        <v>5</v>
      </c>
      <c r="B3" s="4">
        <v>2859</v>
      </c>
      <c r="C3" s="4">
        <v>633</v>
      </c>
      <c r="D3" s="4">
        <v>3492</v>
      </c>
    </row>
    <row r="4" spans="1:4" ht="15" customHeight="1" x14ac:dyDescent="0.3">
      <c r="A4" s="3" t="s">
        <v>6</v>
      </c>
      <c r="B4" s="3">
        <v>7685</v>
      </c>
      <c r="C4" s="3">
        <v>1232</v>
      </c>
      <c r="D4" s="3">
        <v>8917</v>
      </c>
    </row>
    <row r="5" spans="1:4" ht="15" customHeight="1" x14ac:dyDescent="0.3">
      <c r="A5" s="4" t="s">
        <v>7</v>
      </c>
      <c r="B5" s="4">
        <v>148</v>
      </c>
      <c r="C5" s="4">
        <v>31</v>
      </c>
      <c r="D5" s="4">
        <v>179</v>
      </c>
    </row>
    <row r="6" spans="1:4" ht="15" customHeight="1" x14ac:dyDescent="0.3">
      <c r="A6" s="3" t="s">
        <v>8</v>
      </c>
      <c r="B6" s="3">
        <v>5246</v>
      </c>
      <c r="C6" s="3">
        <v>907</v>
      </c>
      <c r="D6" s="3">
        <v>6153</v>
      </c>
    </row>
    <row r="7" spans="1:4" ht="15" customHeight="1" x14ac:dyDescent="0.3">
      <c r="A7" s="4" t="s">
        <v>9</v>
      </c>
      <c r="B7" s="4">
        <v>625</v>
      </c>
      <c r="C7" s="4">
        <v>256</v>
      </c>
      <c r="D7" s="4">
        <v>881</v>
      </c>
    </row>
    <row r="8" spans="1:4" ht="15" customHeight="1" x14ac:dyDescent="0.3">
      <c r="A8" s="3" t="s">
        <v>10</v>
      </c>
      <c r="B8" s="3">
        <v>323</v>
      </c>
      <c r="C8" s="3">
        <v>128</v>
      </c>
      <c r="D8" s="3">
        <v>451</v>
      </c>
    </row>
    <row r="9" spans="1:4" ht="15" customHeight="1" x14ac:dyDescent="0.3">
      <c r="A9" s="4" t="s">
        <v>11</v>
      </c>
      <c r="B9" s="4">
        <v>282</v>
      </c>
      <c r="C9" s="4">
        <v>94</v>
      </c>
      <c r="D9" s="4">
        <v>376</v>
      </c>
    </row>
    <row r="10" spans="1:4" ht="15" customHeight="1" x14ac:dyDescent="0.3">
      <c r="A10" s="3" t="s">
        <v>12</v>
      </c>
      <c r="B10" s="3">
        <v>50</v>
      </c>
      <c r="C10" s="3"/>
      <c r="D10" s="3">
        <v>50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55</v>
      </c>
      <c r="C12" s="5">
        <v>2</v>
      </c>
      <c r="D12" s="5">
        <v>57</v>
      </c>
    </row>
    <row r="13" spans="1:4" ht="15" customHeight="1" x14ac:dyDescent="0.3">
      <c r="A13" s="6" t="s">
        <v>15</v>
      </c>
      <c r="B13" s="6">
        <v>161</v>
      </c>
      <c r="C13" s="6">
        <v>26</v>
      </c>
      <c r="D13" s="6">
        <v>187</v>
      </c>
    </row>
    <row r="14" spans="1:4" ht="15" customHeight="1" x14ac:dyDescent="0.3">
      <c r="A14" s="5" t="s">
        <v>16</v>
      </c>
      <c r="B14" s="5">
        <v>560</v>
      </c>
      <c r="C14" s="5">
        <v>112</v>
      </c>
      <c r="D14" s="5">
        <v>672</v>
      </c>
    </row>
    <row r="15" spans="1:4" ht="15" customHeight="1" x14ac:dyDescent="0.3">
      <c r="A15" s="6" t="s">
        <v>17</v>
      </c>
      <c r="B15" s="6">
        <v>261</v>
      </c>
      <c r="C15" s="6">
        <v>52</v>
      </c>
      <c r="D15" s="6">
        <v>313</v>
      </c>
    </row>
    <row r="16" spans="1:4" ht="15" customHeight="1" x14ac:dyDescent="0.3">
      <c r="A16" s="3" t="s">
        <v>18</v>
      </c>
      <c r="B16" s="3">
        <v>271</v>
      </c>
      <c r="C16" s="3">
        <v>57</v>
      </c>
      <c r="D16" s="3">
        <v>328</v>
      </c>
    </row>
    <row r="17" spans="1:4" ht="15" customHeight="1" x14ac:dyDescent="0.3">
      <c r="A17" s="4" t="s">
        <v>19</v>
      </c>
      <c r="B17" s="4">
        <v>1367</v>
      </c>
      <c r="C17" s="4">
        <v>720</v>
      </c>
      <c r="D17" s="4">
        <v>2087</v>
      </c>
    </row>
    <row r="18" spans="1:4" ht="15" customHeight="1" x14ac:dyDescent="0.3">
      <c r="A18" s="3" t="s">
        <v>20</v>
      </c>
      <c r="B18" s="3">
        <v>92</v>
      </c>
      <c r="C18" s="3">
        <v>46</v>
      </c>
      <c r="D18" s="3">
        <v>138</v>
      </c>
    </row>
    <row r="19" spans="1:4" ht="15" customHeight="1" x14ac:dyDescent="0.3">
      <c r="A19" s="4" t="s">
        <v>21</v>
      </c>
      <c r="B19" s="4">
        <v>1743</v>
      </c>
      <c r="C19" s="4">
        <v>484</v>
      </c>
      <c r="D19" s="4">
        <v>2227</v>
      </c>
    </row>
    <row r="20" spans="1:4" ht="15" customHeight="1" x14ac:dyDescent="0.3">
      <c r="A20" s="3" t="s">
        <v>22</v>
      </c>
      <c r="B20" s="3">
        <v>35</v>
      </c>
      <c r="C20" s="3">
        <v>5</v>
      </c>
      <c r="D20" s="3">
        <v>40</v>
      </c>
    </row>
    <row r="21" spans="1:4" ht="15" customHeight="1" x14ac:dyDescent="0.3">
      <c r="A21" s="4" t="s">
        <v>23</v>
      </c>
      <c r="B21" s="4">
        <v>1711</v>
      </c>
      <c r="C21" s="4">
        <v>495</v>
      </c>
      <c r="D21" s="4">
        <v>2206</v>
      </c>
    </row>
    <row r="22" spans="1:4" ht="15" customHeight="1" x14ac:dyDescent="0.3">
      <c r="A22" s="3" t="s">
        <v>24</v>
      </c>
      <c r="B22" s="3">
        <v>230</v>
      </c>
      <c r="C22" s="3">
        <v>73</v>
      </c>
      <c r="D22" s="3">
        <v>303</v>
      </c>
    </row>
    <row r="23" spans="1:4" ht="15" customHeight="1" x14ac:dyDescent="0.3">
      <c r="A23" s="4" t="s">
        <v>25</v>
      </c>
      <c r="B23" s="4">
        <v>2459</v>
      </c>
      <c r="C23" s="4">
        <v>797</v>
      </c>
      <c r="D23" s="4">
        <v>3256</v>
      </c>
    </row>
    <row r="24" spans="1:4" ht="15" customHeight="1" x14ac:dyDescent="0.3">
      <c r="A24" s="3" t="s">
        <v>26</v>
      </c>
      <c r="B24" s="3">
        <v>11939</v>
      </c>
      <c r="C24" s="3">
        <v>1765</v>
      </c>
      <c r="D24" s="3">
        <v>13704</v>
      </c>
    </row>
    <row r="25" spans="1:4" ht="15" customHeight="1" x14ac:dyDescent="0.3">
      <c r="A25" s="4" t="s">
        <v>27</v>
      </c>
      <c r="B25" s="4">
        <v>595</v>
      </c>
      <c r="C25" s="4">
        <v>160</v>
      </c>
      <c r="D25" s="4">
        <v>755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370</v>
      </c>
      <c r="C27" s="4">
        <v>191</v>
      </c>
      <c r="D27" s="4">
        <v>561</v>
      </c>
    </row>
    <row r="28" spans="1:4" ht="15" customHeight="1" x14ac:dyDescent="0.3">
      <c r="A28" s="3" t="s">
        <v>30</v>
      </c>
      <c r="B28" s="3">
        <v>293</v>
      </c>
      <c r="C28" s="3">
        <v>183</v>
      </c>
      <c r="D28" s="3">
        <v>476</v>
      </c>
    </row>
    <row r="29" spans="1:4" ht="15" customHeight="1" x14ac:dyDescent="0.3">
      <c r="A29" s="4" t="s">
        <v>31</v>
      </c>
      <c r="B29" s="4">
        <v>1467</v>
      </c>
      <c r="C29" s="4">
        <v>714</v>
      </c>
      <c r="D29" s="4">
        <v>2181</v>
      </c>
    </row>
    <row r="30" spans="1:4" ht="15" customHeight="1" x14ac:dyDescent="0.3">
      <c r="A30" s="3" t="s">
        <v>32</v>
      </c>
      <c r="B30" s="3">
        <v>16</v>
      </c>
      <c r="C30" s="3">
        <v>36</v>
      </c>
      <c r="D30" s="3">
        <v>52</v>
      </c>
    </row>
    <row r="31" spans="1:4" ht="15" customHeight="1" x14ac:dyDescent="0.3">
      <c r="A31" s="4" t="s">
        <v>33</v>
      </c>
      <c r="B31" s="4">
        <v>143</v>
      </c>
      <c r="C31" s="4">
        <v>41</v>
      </c>
      <c r="D31" s="4">
        <v>184</v>
      </c>
    </row>
    <row r="32" spans="1:4" ht="15" customHeight="1" x14ac:dyDescent="0.3">
      <c r="A32" s="3" t="s">
        <v>34</v>
      </c>
      <c r="B32" s="3">
        <v>1416</v>
      </c>
      <c r="C32" s="3">
        <v>439</v>
      </c>
      <c r="D32" s="3">
        <v>1855</v>
      </c>
    </row>
    <row r="33" spans="1:4" ht="15" customHeight="1" x14ac:dyDescent="0.3">
      <c r="A33" s="4" t="s">
        <v>35</v>
      </c>
      <c r="B33" s="4">
        <v>971</v>
      </c>
      <c r="C33" s="4">
        <v>366</v>
      </c>
      <c r="D33" s="4">
        <v>1337</v>
      </c>
    </row>
    <row r="34" spans="1:4" ht="15" customHeight="1" x14ac:dyDescent="0.3">
      <c r="A34" s="3" t="s">
        <v>36</v>
      </c>
      <c r="B34" s="3">
        <v>593</v>
      </c>
      <c r="C34" s="3">
        <v>178</v>
      </c>
      <c r="D34" s="3">
        <v>771</v>
      </c>
    </row>
    <row r="35" spans="1:4" ht="15" customHeight="1" x14ac:dyDescent="0.3">
      <c r="A35" s="4" t="s">
        <v>37</v>
      </c>
      <c r="B35" s="4">
        <v>6058</v>
      </c>
      <c r="C35" s="4">
        <v>1218</v>
      </c>
      <c r="D35" s="4">
        <v>7276</v>
      </c>
    </row>
    <row r="36" spans="1:4" ht="15" customHeight="1" x14ac:dyDescent="0.3">
      <c r="A36" s="3" t="s">
        <v>38</v>
      </c>
      <c r="B36" s="3">
        <v>687</v>
      </c>
      <c r="C36" s="3">
        <v>173</v>
      </c>
      <c r="D36" s="3">
        <v>860</v>
      </c>
    </row>
    <row r="37" spans="1:4" ht="15" customHeight="1" x14ac:dyDescent="0.3">
      <c r="A37" s="4" t="s">
        <v>39</v>
      </c>
      <c r="B37" s="4">
        <v>3439</v>
      </c>
      <c r="C37" s="4">
        <v>597</v>
      </c>
      <c r="D37" s="4">
        <v>4036</v>
      </c>
    </row>
    <row r="38" spans="1:4" ht="15" customHeight="1" x14ac:dyDescent="0.3">
      <c r="A38" s="3" t="s">
        <v>40</v>
      </c>
      <c r="B38" s="3">
        <v>164</v>
      </c>
      <c r="C38" s="3">
        <v>37</v>
      </c>
      <c r="D38" s="3">
        <v>201</v>
      </c>
    </row>
    <row r="39" spans="1:4" ht="15" customHeight="1" x14ac:dyDescent="0.3">
      <c r="A39" s="4" t="s">
        <v>41</v>
      </c>
      <c r="B39" s="4">
        <v>56</v>
      </c>
      <c r="C39" s="4">
        <v>86</v>
      </c>
      <c r="D39" s="4">
        <v>142</v>
      </c>
    </row>
    <row r="40" spans="1:4" ht="15" customHeight="1" x14ac:dyDescent="0.3">
      <c r="A40" s="7" t="s">
        <v>42</v>
      </c>
      <c r="B40" s="7">
        <v>534</v>
      </c>
      <c r="C40" s="7">
        <v>4</v>
      </c>
      <c r="D40" s="7">
        <v>538</v>
      </c>
    </row>
    <row r="41" spans="1:4" ht="15" customHeight="1" x14ac:dyDescent="0.3">
      <c r="A41" s="8" t="s">
        <v>43</v>
      </c>
      <c r="B41" s="8">
        <v>1669</v>
      </c>
      <c r="C41" s="8">
        <v>2</v>
      </c>
      <c r="D41" s="8">
        <v>1671</v>
      </c>
    </row>
    <row r="42" spans="1:4" ht="15" customHeight="1" x14ac:dyDescent="0.3">
      <c r="A42" s="7" t="s">
        <v>44</v>
      </c>
      <c r="B42" s="7">
        <v>35</v>
      </c>
      <c r="C42" s="7">
        <v>8</v>
      </c>
      <c r="D42" s="7">
        <v>43</v>
      </c>
    </row>
    <row r="43" spans="1:4" ht="15" customHeight="1" x14ac:dyDescent="0.3">
      <c r="A43" s="8" t="s">
        <v>45</v>
      </c>
      <c r="B43" s="8">
        <v>343</v>
      </c>
      <c r="C43" s="8">
        <v>5</v>
      </c>
      <c r="D43" s="8">
        <v>348</v>
      </c>
    </row>
    <row r="44" spans="1:4" ht="15" customHeight="1" x14ac:dyDescent="0.3">
      <c r="A44" s="3" t="s">
        <v>46</v>
      </c>
      <c r="B44" s="3">
        <v>195</v>
      </c>
      <c r="C44" s="3">
        <v>60</v>
      </c>
      <c r="D44" s="3">
        <v>255</v>
      </c>
    </row>
    <row r="45" spans="1:4" ht="15" customHeight="1" x14ac:dyDescent="0.3">
      <c r="A45" s="4" t="s">
        <v>47</v>
      </c>
      <c r="B45" s="4">
        <v>1507</v>
      </c>
      <c r="C45" s="4">
        <v>589</v>
      </c>
      <c r="D45" s="4">
        <v>2096</v>
      </c>
    </row>
    <row r="46" spans="1:4" ht="15" customHeight="1" x14ac:dyDescent="0.3">
      <c r="A46" s="3" t="s">
        <v>48</v>
      </c>
      <c r="B46" s="3">
        <v>2919</v>
      </c>
      <c r="C46" s="3">
        <v>907</v>
      </c>
      <c r="D46" s="3">
        <v>3826</v>
      </c>
    </row>
    <row r="47" spans="1:4" ht="15" customHeight="1" x14ac:dyDescent="0.3">
      <c r="A47" s="4" t="s">
        <v>49</v>
      </c>
      <c r="B47" s="4">
        <v>1455</v>
      </c>
      <c r="C47" s="4">
        <v>221</v>
      </c>
      <c r="D47" s="4">
        <v>1676</v>
      </c>
    </row>
    <row r="48" spans="1:4" ht="15" customHeight="1" x14ac:dyDescent="0.3">
      <c r="A48" s="3" t="s">
        <v>50</v>
      </c>
      <c r="B48" s="3">
        <v>763</v>
      </c>
      <c r="C48" s="3">
        <v>429</v>
      </c>
      <c r="D48" s="3">
        <v>1192</v>
      </c>
    </row>
    <row r="49" spans="1:4" ht="15" customHeight="1" x14ac:dyDescent="0.3">
      <c r="A49" s="4" t="s">
        <v>51</v>
      </c>
      <c r="B49" s="4">
        <v>3326</v>
      </c>
      <c r="C49" s="4">
        <v>917</v>
      </c>
      <c r="D49" s="4">
        <v>4243</v>
      </c>
    </row>
    <row r="50" spans="1:4" ht="15" customHeight="1" x14ac:dyDescent="0.3">
      <c r="A50" s="3" t="s">
        <v>52</v>
      </c>
      <c r="B50" s="3">
        <v>321</v>
      </c>
      <c r="C50" s="3">
        <v>112</v>
      </c>
      <c r="D50" s="3">
        <v>433</v>
      </c>
    </row>
    <row r="51" spans="1:4" ht="15" customHeight="1" x14ac:dyDescent="0.3">
      <c r="A51" s="4" t="s">
        <v>53</v>
      </c>
      <c r="B51" s="4">
        <v>716</v>
      </c>
      <c r="C51" s="4">
        <v>375</v>
      </c>
      <c r="D51" s="4">
        <v>1091</v>
      </c>
    </row>
    <row r="52" spans="1:4" ht="15" customHeight="1" x14ac:dyDescent="0.3">
      <c r="A52" s="3" t="s">
        <v>54</v>
      </c>
      <c r="B52" s="3">
        <v>47</v>
      </c>
      <c r="C52" s="3">
        <v>57</v>
      </c>
      <c r="D52" s="3">
        <v>104</v>
      </c>
    </row>
    <row r="53" spans="1:4" ht="15" customHeight="1" x14ac:dyDescent="0.3">
      <c r="A53" s="4" t="s">
        <v>55</v>
      </c>
      <c r="B53" s="4">
        <v>123</v>
      </c>
      <c r="C53" s="4">
        <v>49</v>
      </c>
      <c r="D53" s="4">
        <v>172</v>
      </c>
    </row>
    <row r="54" spans="1:4" ht="15" customHeight="1" x14ac:dyDescent="0.3">
      <c r="A54" s="3" t="s">
        <v>56</v>
      </c>
      <c r="B54" s="3">
        <v>413</v>
      </c>
      <c r="C54" s="3">
        <v>381</v>
      </c>
      <c r="D54" s="3">
        <v>794</v>
      </c>
    </row>
    <row r="55" spans="1:4" ht="15" customHeight="1" x14ac:dyDescent="0.3">
      <c r="A55" s="6" t="s">
        <v>58</v>
      </c>
      <c r="B55" s="6">
        <f>SUM(B12,B13,B14,B15)</f>
        <v>1037</v>
      </c>
      <c r="C55" s="6">
        <f t="shared" ref="C55:D55" si="0">SUM(C12,C13,C14,C15)</f>
        <v>192</v>
      </c>
      <c r="D55" s="6">
        <f t="shared" si="0"/>
        <v>1229</v>
      </c>
    </row>
    <row r="56" spans="1:4" ht="15" customHeight="1" x14ac:dyDescent="0.3">
      <c r="A56" s="8" t="s">
        <v>57</v>
      </c>
      <c r="B56" s="8">
        <f>SUM(B40,B41,B42,B43)</f>
        <v>2581</v>
      </c>
      <c r="C56" s="8">
        <f t="shared" ref="C56:D56" si="1">SUM(C40,C41,C42,C43)</f>
        <v>19</v>
      </c>
      <c r="D56" s="8">
        <f t="shared" si="1"/>
        <v>2600</v>
      </c>
    </row>
  </sheetData>
  <autoFilter ref="A1:D5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56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v>4741</v>
      </c>
      <c r="C2" s="3">
        <v>1627</v>
      </c>
      <c r="D2" s="3">
        <v>6368</v>
      </c>
    </row>
    <row r="3" spans="1:4" ht="15" customHeight="1" x14ac:dyDescent="0.3">
      <c r="A3" s="4" t="s">
        <v>5</v>
      </c>
      <c r="B3" s="4">
        <v>2582</v>
      </c>
      <c r="C3" s="4">
        <v>675</v>
      </c>
      <c r="D3" s="4">
        <v>3257</v>
      </c>
    </row>
    <row r="4" spans="1:4" ht="15" customHeight="1" x14ac:dyDescent="0.3">
      <c r="A4" s="3" t="s">
        <v>6</v>
      </c>
      <c r="B4" s="3">
        <v>7350</v>
      </c>
      <c r="C4" s="3">
        <v>1234</v>
      </c>
      <c r="D4" s="3">
        <v>8584</v>
      </c>
    </row>
    <row r="5" spans="1:4" ht="15" customHeight="1" x14ac:dyDescent="0.3">
      <c r="A5" s="4" t="s">
        <v>7</v>
      </c>
      <c r="B5" s="4">
        <v>81</v>
      </c>
      <c r="C5" s="4">
        <v>20</v>
      </c>
      <c r="D5" s="4">
        <v>101</v>
      </c>
    </row>
    <row r="6" spans="1:4" ht="15" customHeight="1" x14ac:dyDescent="0.3">
      <c r="A6" s="3" t="s">
        <v>8</v>
      </c>
      <c r="B6" s="3">
        <v>4986</v>
      </c>
      <c r="C6" s="3">
        <v>1023</v>
      </c>
      <c r="D6" s="3">
        <v>6009</v>
      </c>
    </row>
    <row r="7" spans="1:4" ht="15" customHeight="1" x14ac:dyDescent="0.3">
      <c r="A7" s="4" t="s">
        <v>9</v>
      </c>
      <c r="B7" s="4">
        <v>862</v>
      </c>
      <c r="C7" s="4">
        <v>271</v>
      </c>
      <c r="D7" s="4">
        <v>1133</v>
      </c>
    </row>
    <row r="8" spans="1:4" ht="15" customHeight="1" x14ac:dyDescent="0.3">
      <c r="A8" s="3" t="s">
        <v>10</v>
      </c>
      <c r="B8" s="3">
        <v>356</v>
      </c>
      <c r="C8" s="3">
        <v>129</v>
      </c>
      <c r="D8" s="3">
        <v>485</v>
      </c>
    </row>
    <row r="9" spans="1:4" ht="15" customHeight="1" x14ac:dyDescent="0.3">
      <c r="A9" s="4" t="s">
        <v>11</v>
      </c>
      <c r="B9" s="4">
        <v>227</v>
      </c>
      <c r="C9" s="4">
        <v>55</v>
      </c>
      <c r="D9" s="4">
        <v>282</v>
      </c>
    </row>
    <row r="10" spans="1:4" ht="15" customHeight="1" x14ac:dyDescent="0.3">
      <c r="A10" s="3" t="s">
        <v>12</v>
      </c>
      <c r="B10" s="3">
        <v>42</v>
      </c>
      <c r="C10" s="3"/>
      <c r="D10" s="3">
        <v>42</v>
      </c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>
        <v>34</v>
      </c>
      <c r="C12" s="5">
        <v>12</v>
      </c>
      <c r="D12" s="5">
        <v>46</v>
      </c>
    </row>
    <row r="13" spans="1:4" ht="15" customHeight="1" x14ac:dyDescent="0.3">
      <c r="A13" s="6" t="s">
        <v>15</v>
      </c>
      <c r="B13" s="6">
        <v>81</v>
      </c>
      <c r="C13" s="6">
        <v>29</v>
      </c>
      <c r="D13" s="6">
        <v>110</v>
      </c>
    </row>
    <row r="14" spans="1:4" ht="15" customHeight="1" x14ac:dyDescent="0.3">
      <c r="A14" s="5" t="s">
        <v>16</v>
      </c>
      <c r="B14" s="5">
        <v>588</v>
      </c>
      <c r="C14" s="5">
        <v>170</v>
      </c>
      <c r="D14" s="5">
        <v>758</v>
      </c>
    </row>
    <row r="15" spans="1:4" ht="15" customHeight="1" x14ac:dyDescent="0.3">
      <c r="A15" s="6" t="s">
        <v>17</v>
      </c>
      <c r="B15" s="6">
        <v>186</v>
      </c>
      <c r="C15" s="6">
        <v>42</v>
      </c>
      <c r="D15" s="6">
        <v>228</v>
      </c>
    </row>
    <row r="16" spans="1:4" ht="15" customHeight="1" x14ac:dyDescent="0.3">
      <c r="A16" s="3" t="s">
        <v>18</v>
      </c>
      <c r="B16" s="3">
        <v>254</v>
      </c>
      <c r="C16" s="3">
        <v>79</v>
      </c>
      <c r="D16" s="3">
        <v>333</v>
      </c>
    </row>
    <row r="17" spans="1:4" ht="15" customHeight="1" x14ac:dyDescent="0.3">
      <c r="A17" s="4" t="s">
        <v>19</v>
      </c>
      <c r="B17" s="4">
        <v>1364</v>
      </c>
      <c r="C17" s="4">
        <v>665</v>
      </c>
      <c r="D17" s="4">
        <v>2029</v>
      </c>
    </row>
    <row r="18" spans="1:4" ht="15" customHeight="1" x14ac:dyDescent="0.3">
      <c r="A18" s="3" t="s">
        <v>20</v>
      </c>
      <c r="B18" s="3">
        <v>115</v>
      </c>
      <c r="C18" s="3">
        <v>84</v>
      </c>
      <c r="D18" s="3">
        <v>199</v>
      </c>
    </row>
    <row r="19" spans="1:4" ht="15" customHeight="1" x14ac:dyDescent="0.3">
      <c r="A19" s="4" t="s">
        <v>21</v>
      </c>
      <c r="B19" s="4">
        <v>1847</v>
      </c>
      <c r="C19" s="4">
        <v>676</v>
      </c>
      <c r="D19" s="4">
        <v>2523</v>
      </c>
    </row>
    <row r="20" spans="1:4" ht="15" customHeight="1" x14ac:dyDescent="0.3">
      <c r="A20" s="3" t="s">
        <v>22</v>
      </c>
      <c r="B20" s="3">
        <v>39</v>
      </c>
      <c r="C20" s="3">
        <v>6</v>
      </c>
      <c r="D20" s="3">
        <v>45</v>
      </c>
    </row>
    <row r="21" spans="1:4" ht="15" customHeight="1" x14ac:dyDescent="0.3">
      <c r="A21" s="4" t="s">
        <v>23</v>
      </c>
      <c r="B21" s="4">
        <v>1637</v>
      </c>
      <c r="C21" s="4">
        <v>621</v>
      </c>
      <c r="D21" s="4">
        <v>2258</v>
      </c>
    </row>
    <row r="22" spans="1:4" ht="15" customHeight="1" x14ac:dyDescent="0.3">
      <c r="A22" s="3" t="s">
        <v>24</v>
      </c>
      <c r="B22" s="3">
        <v>317</v>
      </c>
      <c r="C22" s="3">
        <v>63</v>
      </c>
      <c r="D22" s="3">
        <v>380</v>
      </c>
    </row>
    <row r="23" spans="1:4" ht="15" customHeight="1" x14ac:dyDescent="0.3">
      <c r="A23" s="4" t="s">
        <v>25</v>
      </c>
      <c r="B23" s="4">
        <v>2021</v>
      </c>
      <c r="C23" s="4">
        <v>851</v>
      </c>
      <c r="D23" s="4">
        <v>2872</v>
      </c>
    </row>
    <row r="24" spans="1:4" ht="15" customHeight="1" x14ac:dyDescent="0.3">
      <c r="A24" s="3" t="s">
        <v>26</v>
      </c>
      <c r="B24" s="3">
        <v>11070</v>
      </c>
      <c r="C24" s="3">
        <v>1843</v>
      </c>
      <c r="D24" s="3">
        <v>12913</v>
      </c>
    </row>
    <row r="25" spans="1:4" ht="15" customHeight="1" x14ac:dyDescent="0.3">
      <c r="A25" s="4" t="s">
        <v>27</v>
      </c>
      <c r="B25" s="4">
        <v>492</v>
      </c>
      <c r="C25" s="4">
        <v>155</v>
      </c>
      <c r="D25" s="4">
        <v>647</v>
      </c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>
        <v>298</v>
      </c>
      <c r="C27" s="4">
        <v>126</v>
      </c>
      <c r="D27" s="4">
        <v>424</v>
      </c>
    </row>
    <row r="28" spans="1:4" ht="15" customHeight="1" x14ac:dyDescent="0.3">
      <c r="A28" s="3" t="s">
        <v>30</v>
      </c>
      <c r="B28" s="3">
        <v>494</v>
      </c>
      <c r="C28" s="3">
        <v>300</v>
      </c>
      <c r="D28" s="3">
        <v>794</v>
      </c>
    </row>
    <row r="29" spans="1:4" ht="15" customHeight="1" x14ac:dyDescent="0.3">
      <c r="A29" s="4" t="s">
        <v>31</v>
      </c>
      <c r="B29" s="4">
        <v>1764</v>
      </c>
      <c r="C29" s="4">
        <v>837</v>
      </c>
      <c r="D29" s="4">
        <v>2601</v>
      </c>
    </row>
    <row r="30" spans="1:4" ht="15" customHeight="1" x14ac:dyDescent="0.3">
      <c r="A30" s="3" t="s">
        <v>32</v>
      </c>
      <c r="B30" s="3">
        <v>18</v>
      </c>
      <c r="C30" s="3">
        <v>22</v>
      </c>
      <c r="D30" s="3">
        <v>40</v>
      </c>
    </row>
    <row r="31" spans="1:4" ht="15" customHeight="1" x14ac:dyDescent="0.3">
      <c r="A31" s="4" t="s">
        <v>33</v>
      </c>
      <c r="B31" s="4">
        <v>195</v>
      </c>
      <c r="C31" s="4">
        <v>63</v>
      </c>
      <c r="D31" s="4">
        <v>258</v>
      </c>
    </row>
    <row r="32" spans="1:4" ht="15" customHeight="1" x14ac:dyDescent="0.3">
      <c r="A32" s="3" t="s">
        <v>34</v>
      </c>
      <c r="B32" s="3">
        <v>1395</v>
      </c>
      <c r="C32" s="3">
        <v>552</v>
      </c>
      <c r="D32" s="3">
        <v>1947</v>
      </c>
    </row>
    <row r="33" spans="1:4" ht="15" customHeight="1" x14ac:dyDescent="0.3">
      <c r="A33" s="4" t="s">
        <v>35</v>
      </c>
      <c r="B33" s="4">
        <v>817</v>
      </c>
      <c r="C33" s="4">
        <v>326</v>
      </c>
      <c r="D33" s="4">
        <v>1143</v>
      </c>
    </row>
    <row r="34" spans="1:4" ht="15" customHeight="1" x14ac:dyDescent="0.3">
      <c r="A34" s="3" t="s">
        <v>36</v>
      </c>
      <c r="B34" s="3">
        <v>137</v>
      </c>
      <c r="C34" s="3">
        <v>80</v>
      </c>
      <c r="D34" s="3">
        <v>217</v>
      </c>
    </row>
    <row r="35" spans="1:4" ht="15" customHeight="1" x14ac:dyDescent="0.3">
      <c r="A35" s="4" t="s">
        <v>37</v>
      </c>
      <c r="B35" s="4">
        <v>5742</v>
      </c>
      <c r="C35" s="4">
        <v>1038</v>
      </c>
      <c r="D35" s="4">
        <v>6780</v>
      </c>
    </row>
    <row r="36" spans="1:4" ht="15" customHeight="1" x14ac:dyDescent="0.3">
      <c r="A36" s="3" t="s">
        <v>38</v>
      </c>
      <c r="B36" s="3">
        <v>585</v>
      </c>
      <c r="C36" s="3">
        <v>149</v>
      </c>
      <c r="D36" s="3">
        <v>734</v>
      </c>
    </row>
    <row r="37" spans="1:4" ht="15" customHeight="1" x14ac:dyDescent="0.3">
      <c r="A37" s="4" t="s">
        <v>39</v>
      </c>
      <c r="B37" s="4">
        <v>2964</v>
      </c>
      <c r="C37" s="4">
        <v>593</v>
      </c>
      <c r="D37" s="4">
        <v>3557</v>
      </c>
    </row>
    <row r="38" spans="1:4" ht="15" customHeight="1" x14ac:dyDescent="0.3">
      <c r="A38" s="3" t="s">
        <v>40</v>
      </c>
      <c r="B38" s="3">
        <v>271</v>
      </c>
      <c r="C38" s="3">
        <v>32</v>
      </c>
      <c r="D38" s="3">
        <v>303</v>
      </c>
    </row>
    <row r="39" spans="1:4" ht="15" customHeight="1" x14ac:dyDescent="0.3">
      <c r="A39" s="4" t="s">
        <v>41</v>
      </c>
      <c r="B39" s="4">
        <v>84</v>
      </c>
      <c r="C39" s="4">
        <v>163</v>
      </c>
      <c r="D39" s="4">
        <v>247</v>
      </c>
    </row>
    <row r="40" spans="1:4" ht="15" customHeight="1" x14ac:dyDescent="0.3">
      <c r="A40" s="7" t="s">
        <v>42</v>
      </c>
      <c r="B40" s="7">
        <v>673</v>
      </c>
      <c r="C40" s="7">
        <v>9</v>
      </c>
      <c r="D40" s="7">
        <v>682</v>
      </c>
    </row>
    <row r="41" spans="1:4" ht="15" customHeight="1" x14ac:dyDescent="0.3">
      <c r="A41" s="8" t="s">
        <v>43</v>
      </c>
      <c r="B41" s="8">
        <v>2108</v>
      </c>
      <c r="C41" s="8">
        <v>48</v>
      </c>
      <c r="D41" s="8">
        <v>2156</v>
      </c>
    </row>
    <row r="42" spans="1:4" ht="15" customHeight="1" x14ac:dyDescent="0.3">
      <c r="A42" s="7" t="s">
        <v>44</v>
      </c>
      <c r="B42" s="7">
        <v>29</v>
      </c>
      <c r="C42" s="7">
        <v>8</v>
      </c>
      <c r="D42" s="7">
        <v>37</v>
      </c>
    </row>
    <row r="43" spans="1:4" ht="15" customHeight="1" x14ac:dyDescent="0.3">
      <c r="A43" s="8" t="s">
        <v>45</v>
      </c>
      <c r="B43" s="8">
        <v>434</v>
      </c>
      <c r="C43" s="8">
        <v>10</v>
      </c>
      <c r="D43" s="8">
        <v>444</v>
      </c>
    </row>
    <row r="44" spans="1:4" ht="15" customHeight="1" x14ac:dyDescent="0.3">
      <c r="A44" s="3" t="s">
        <v>46</v>
      </c>
      <c r="B44" s="3">
        <v>182</v>
      </c>
      <c r="C44" s="3">
        <v>48</v>
      </c>
      <c r="D44" s="3">
        <v>230</v>
      </c>
    </row>
    <row r="45" spans="1:4" ht="15" customHeight="1" x14ac:dyDescent="0.3">
      <c r="A45" s="4" t="s">
        <v>47</v>
      </c>
      <c r="B45" s="4">
        <v>2068</v>
      </c>
      <c r="C45" s="4">
        <v>772</v>
      </c>
      <c r="D45" s="4">
        <v>2840</v>
      </c>
    </row>
    <row r="46" spans="1:4" ht="15" customHeight="1" x14ac:dyDescent="0.3">
      <c r="A46" s="3" t="s">
        <v>48</v>
      </c>
      <c r="B46" s="3">
        <v>3031</v>
      </c>
      <c r="C46" s="3">
        <v>800</v>
      </c>
      <c r="D46" s="3">
        <v>3831</v>
      </c>
    </row>
    <row r="47" spans="1:4" ht="15" customHeight="1" x14ac:dyDescent="0.3">
      <c r="A47" s="4" t="s">
        <v>49</v>
      </c>
      <c r="B47" s="4">
        <v>1460</v>
      </c>
      <c r="C47" s="4">
        <v>203</v>
      </c>
      <c r="D47" s="4">
        <v>1663</v>
      </c>
    </row>
    <row r="48" spans="1:4" ht="15" customHeight="1" x14ac:dyDescent="0.3">
      <c r="A48" s="3" t="s">
        <v>50</v>
      </c>
      <c r="B48" s="3">
        <v>751</v>
      </c>
      <c r="C48" s="3">
        <v>349</v>
      </c>
      <c r="D48" s="3">
        <v>1100</v>
      </c>
    </row>
    <row r="49" spans="1:4" ht="15" customHeight="1" x14ac:dyDescent="0.3">
      <c r="A49" s="4" t="s">
        <v>51</v>
      </c>
      <c r="B49" s="4">
        <v>3134</v>
      </c>
      <c r="C49" s="4">
        <v>980</v>
      </c>
      <c r="D49" s="4">
        <v>4114</v>
      </c>
    </row>
    <row r="50" spans="1:4" ht="15" customHeight="1" x14ac:dyDescent="0.3">
      <c r="A50" s="3" t="s">
        <v>52</v>
      </c>
      <c r="B50" s="3">
        <v>298</v>
      </c>
      <c r="C50" s="3">
        <v>190</v>
      </c>
      <c r="D50" s="3">
        <v>488</v>
      </c>
    </row>
    <row r="51" spans="1:4" ht="15" customHeight="1" x14ac:dyDescent="0.3">
      <c r="A51" s="4" t="s">
        <v>53</v>
      </c>
      <c r="B51" s="4">
        <v>688</v>
      </c>
      <c r="C51" s="4">
        <v>330</v>
      </c>
      <c r="D51" s="4">
        <v>1018</v>
      </c>
    </row>
    <row r="52" spans="1:4" ht="15" customHeight="1" x14ac:dyDescent="0.3">
      <c r="A52" s="3" t="s">
        <v>54</v>
      </c>
      <c r="B52" s="3">
        <v>144</v>
      </c>
      <c r="C52" s="3">
        <v>71</v>
      </c>
      <c r="D52" s="3">
        <v>215</v>
      </c>
    </row>
    <row r="53" spans="1:4" ht="15" customHeight="1" x14ac:dyDescent="0.3">
      <c r="A53" s="4" t="s">
        <v>55</v>
      </c>
      <c r="B53" s="4">
        <v>196</v>
      </c>
      <c r="C53" s="4">
        <v>30</v>
      </c>
      <c r="D53" s="4">
        <v>226</v>
      </c>
    </row>
    <row r="54" spans="1:4" ht="15" customHeight="1" x14ac:dyDescent="0.3">
      <c r="A54" s="3" t="s">
        <v>56</v>
      </c>
      <c r="B54" s="3">
        <v>326</v>
      </c>
      <c r="C54" s="3">
        <v>287</v>
      </c>
      <c r="D54" s="3">
        <v>613</v>
      </c>
    </row>
    <row r="55" spans="1:4" ht="15" customHeight="1" x14ac:dyDescent="0.3">
      <c r="A55" s="6" t="s">
        <v>58</v>
      </c>
      <c r="B55" s="6">
        <f>SUM(B12,B13,B14,B15)</f>
        <v>889</v>
      </c>
      <c r="C55" s="6">
        <f t="shared" ref="C55:D55" si="0">SUM(C12,C13,C14,C15)</f>
        <v>253</v>
      </c>
      <c r="D55" s="6">
        <f t="shared" si="0"/>
        <v>1142</v>
      </c>
    </row>
    <row r="56" spans="1:4" ht="15" customHeight="1" x14ac:dyDescent="0.3">
      <c r="A56" s="8" t="s">
        <v>57</v>
      </c>
      <c r="B56" s="8">
        <f>SUM(B40,B41,B42,B43)</f>
        <v>3244</v>
      </c>
      <c r="C56" s="8">
        <f t="shared" ref="C56:D56" si="1">SUM(C40,C41,C42,C43)</f>
        <v>75</v>
      </c>
      <c r="D56" s="8">
        <f t="shared" si="1"/>
        <v>3319</v>
      </c>
    </row>
  </sheetData>
  <autoFilter ref="A1:D56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/>
      <c r="C2" s="3"/>
      <c r="D2" s="3"/>
    </row>
    <row r="3" spans="1:4" ht="15" customHeight="1" x14ac:dyDescent="0.3">
      <c r="A3" s="4" t="s">
        <v>5</v>
      </c>
      <c r="B3" s="4"/>
      <c r="C3" s="4"/>
      <c r="D3" s="4"/>
    </row>
    <row r="4" spans="1:4" ht="15" customHeight="1" x14ac:dyDescent="0.3">
      <c r="A4" s="3" t="s">
        <v>6</v>
      </c>
      <c r="B4" s="3"/>
      <c r="C4" s="3"/>
      <c r="D4" s="3"/>
    </row>
    <row r="5" spans="1:4" ht="15" customHeight="1" x14ac:dyDescent="0.3">
      <c r="A5" s="4" t="s">
        <v>7</v>
      </c>
      <c r="B5" s="4"/>
      <c r="C5" s="4"/>
      <c r="D5" s="4"/>
    </row>
    <row r="6" spans="1:4" ht="15" customHeight="1" x14ac:dyDescent="0.3">
      <c r="A6" s="3" t="s">
        <v>8</v>
      </c>
      <c r="B6" s="3"/>
      <c r="C6" s="3"/>
      <c r="D6" s="3"/>
    </row>
    <row r="7" spans="1:4" ht="15" customHeight="1" x14ac:dyDescent="0.3">
      <c r="A7" s="4" t="s">
        <v>9</v>
      </c>
      <c r="B7" s="4"/>
      <c r="C7" s="4"/>
      <c r="D7" s="4"/>
    </row>
    <row r="8" spans="1:4" ht="15" customHeight="1" x14ac:dyDescent="0.3">
      <c r="A8" s="3" t="s">
        <v>10</v>
      </c>
      <c r="B8" s="3"/>
      <c r="C8" s="3"/>
      <c r="D8" s="3"/>
    </row>
    <row r="9" spans="1:4" ht="15" customHeight="1" x14ac:dyDescent="0.3">
      <c r="A9" s="4" t="s">
        <v>11</v>
      </c>
      <c r="B9" s="4"/>
      <c r="C9" s="4"/>
      <c r="D9" s="4"/>
    </row>
    <row r="10" spans="1:4" ht="15" customHeight="1" x14ac:dyDescent="0.3">
      <c r="A10" s="3" t="s">
        <v>12</v>
      </c>
      <c r="B10" s="3"/>
      <c r="C10" s="3"/>
      <c r="D10" s="3"/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/>
      <c r="C12" s="5"/>
      <c r="D12" s="5"/>
    </row>
    <row r="13" spans="1:4" ht="15" customHeight="1" x14ac:dyDescent="0.3">
      <c r="A13" s="6" t="s">
        <v>15</v>
      </c>
      <c r="B13" s="6"/>
      <c r="C13" s="6"/>
      <c r="D13" s="6"/>
    </row>
    <row r="14" spans="1:4" ht="15" customHeight="1" x14ac:dyDescent="0.3">
      <c r="A14" s="5" t="s">
        <v>16</v>
      </c>
      <c r="B14" s="5"/>
      <c r="C14" s="5"/>
      <c r="D14" s="5"/>
    </row>
    <row r="15" spans="1:4" ht="15" customHeight="1" x14ac:dyDescent="0.3">
      <c r="A15" s="6" t="s">
        <v>17</v>
      </c>
      <c r="B15" s="6"/>
      <c r="C15" s="6"/>
      <c r="D15" s="6"/>
    </row>
    <row r="16" spans="1:4" ht="15" customHeight="1" x14ac:dyDescent="0.3">
      <c r="A16" s="3" t="s">
        <v>18</v>
      </c>
      <c r="B16" s="3"/>
      <c r="C16" s="3"/>
      <c r="D16" s="3"/>
    </row>
    <row r="17" spans="1:4" ht="15" customHeight="1" x14ac:dyDescent="0.3">
      <c r="A17" s="4" t="s">
        <v>19</v>
      </c>
      <c r="B17" s="4"/>
      <c r="C17" s="4"/>
      <c r="D17" s="4"/>
    </row>
    <row r="18" spans="1:4" ht="15" customHeight="1" x14ac:dyDescent="0.3">
      <c r="A18" s="3" t="s">
        <v>20</v>
      </c>
      <c r="B18" s="3"/>
      <c r="C18" s="3"/>
      <c r="D18" s="3"/>
    </row>
    <row r="19" spans="1:4" ht="15" customHeight="1" x14ac:dyDescent="0.3">
      <c r="A19" s="4" t="s">
        <v>21</v>
      </c>
      <c r="B19" s="4"/>
      <c r="C19" s="4"/>
      <c r="D19" s="4"/>
    </row>
    <row r="20" spans="1:4" ht="15" customHeight="1" x14ac:dyDescent="0.3">
      <c r="A20" s="3" t="s">
        <v>22</v>
      </c>
      <c r="B20" s="3"/>
      <c r="C20" s="3"/>
      <c r="D20" s="3"/>
    </row>
    <row r="21" spans="1:4" ht="15" customHeight="1" x14ac:dyDescent="0.3">
      <c r="A21" s="4" t="s">
        <v>23</v>
      </c>
      <c r="B21" s="4"/>
      <c r="C21" s="4"/>
      <c r="D21" s="4"/>
    </row>
    <row r="22" spans="1:4" ht="15" customHeight="1" x14ac:dyDescent="0.3">
      <c r="A22" s="3" t="s">
        <v>24</v>
      </c>
      <c r="B22" s="3"/>
      <c r="C22" s="3"/>
      <c r="D22" s="3"/>
    </row>
    <row r="23" spans="1:4" ht="15" customHeight="1" x14ac:dyDescent="0.3">
      <c r="A23" s="4" t="s">
        <v>25</v>
      </c>
      <c r="B23" s="4"/>
      <c r="C23" s="4"/>
      <c r="D23" s="4"/>
    </row>
    <row r="24" spans="1:4" ht="15" customHeight="1" x14ac:dyDescent="0.3">
      <c r="A24" s="3" t="s">
        <v>26</v>
      </c>
      <c r="B24" s="3"/>
      <c r="C24" s="3"/>
      <c r="D24" s="3"/>
    </row>
    <row r="25" spans="1:4" ht="15" customHeight="1" x14ac:dyDescent="0.3">
      <c r="A25" s="4" t="s">
        <v>27</v>
      </c>
      <c r="B25" s="4"/>
      <c r="C25" s="4"/>
      <c r="D25" s="4"/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/>
      <c r="C27" s="4"/>
      <c r="D27" s="4"/>
    </row>
    <row r="28" spans="1:4" ht="15" customHeight="1" x14ac:dyDescent="0.3">
      <c r="A28" s="3" t="s">
        <v>30</v>
      </c>
      <c r="B28" s="3"/>
      <c r="C28" s="3"/>
      <c r="D28" s="3"/>
    </row>
    <row r="29" spans="1:4" ht="15" customHeight="1" x14ac:dyDescent="0.3">
      <c r="A29" s="4" t="s">
        <v>31</v>
      </c>
      <c r="B29" s="4"/>
      <c r="C29" s="4"/>
      <c r="D29" s="4"/>
    </row>
    <row r="30" spans="1:4" ht="15" customHeight="1" x14ac:dyDescent="0.3">
      <c r="A30" s="3" t="s">
        <v>32</v>
      </c>
      <c r="B30" s="3"/>
      <c r="C30" s="3"/>
      <c r="D30" s="3"/>
    </row>
    <row r="31" spans="1:4" ht="15" customHeight="1" x14ac:dyDescent="0.3">
      <c r="A31" s="4" t="s">
        <v>33</v>
      </c>
      <c r="B31" s="4"/>
      <c r="C31" s="4"/>
      <c r="D31" s="4"/>
    </row>
    <row r="32" spans="1:4" ht="15" customHeight="1" x14ac:dyDescent="0.3">
      <c r="A32" s="3" t="s">
        <v>34</v>
      </c>
      <c r="B32" s="3"/>
      <c r="C32" s="3"/>
      <c r="D32" s="3"/>
    </row>
    <row r="33" spans="1:4" ht="15" customHeight="1" x14ac:dyDescent="0.3">
      <c r="A33" s="4" t="s">
        <v>35</v>
      </c>
      <c r="B33" s="4"/>
      <c r="C33" s="4"/>
      <c r="D33" s="4"/>
    </row>
    <row r="34" spans="1:4" ht="15" customHeight="1" x14ac:dyDescent="0.3">
      <c r="A34" s="3" t="s">
        <v>36</v>
      </c>
      <c r="B34" s="3"/>
      <c r="C34" s="3"/>
      <c r="D34" s="3"/>
    </row>
    <row r="35" spans="1:4" ht="15" customHeight="1" x14ac:dyDescent="0.3">
      <c r="A35" s="4" t="s">
        <v>37</v>
      </c>
      <c r="B35" s="4"/>
      <c r="C35" s="4"/>
      <c r="D35" s="4"/>
    </row>
    <row r="36" spans="1:4" ht="15" customHeight="1" x14ac:dyDescent="0.3">
      <c r="A36" s="3" t="s">
        <v>38</v>
      </c>
      <c r="B36" s="3"/>
      <c r="C36" s="3"/>
      <c r="D36" s="3"/>
    </row>
    <row r="37" spans="1:4" ht="15" customHeight="1" x14ac:dyDescent="0.3">
      <c r="A37" s="4" t="s">
        <v>39</v>
      </c>
      <c r="B37" s="4"/>
      <c r="C37" s="4"/>
      <c r="D37" s="4"/>
    </row>
    <row r="38" spans="1:4" ht="15" customHeight="1" x14ac:dyDescent="0.3">
      <c r="A38" s="3" t="s">
        <v>40</v>
      </c>
      <c r="B38" s="3"/>
      <c r="C38" s="3"/>
      <c r="D38" s="3"/>
    </row>
    <row r="39" spans="1:4" ht="15" customHeight="1" x14ac:dyDescent="0.3">
      <c r="A39" s="4" t="s">
        <v>41</v>
      </c>
      <c r="B39" s="4"/>
      <c r="C39" s="4"/>
      <c r="D39" s="4"/>
    </row>
    <row r="40" spans="1:4" ht="15" customHeight="1" x14ac:dyDescent="0.3">
      <c r="A40" s="7" t="s">
        <v>42</v>
      </c>
      <c r="B40" s="7"/>
      <c r="C40" s="7"/>
      <c r="D40" s="7"/>
    </row>
    <row r="41" spans="1:4" ht="15" customHeight="1" x14ac:dyDescent="0.3">
      <c r="A41" s="8" t="s">
        <v>43</v>
      </c>
      <c r="B41" s="8"/>
      <c r="C41" s="8"/>
      <c r="D41" s="8"/>
    </row>
    <row r="42" spans="1:4" ht="15" customHeight="1" x14ac:dyDescent="0.3">
      <c r="A42" s="7" t="s">
        <v>44</v>
      </c>
      <c r="B42" s="7"/>
      <c r="C42" s="7"/>
      <c r="D42" s="7"/>
    </row>
    <row r="43" spans="1:4" ht="15" customHeight="1" x14ac:dyDescent="0.3">
      <c r="A43" s="8" t="s">
        <v>45</v>
      </c>
      <c r="B43" s="8"/>
      <c r="C43" s="8"/>
      <c r="D43" s="8"/>
    </row>
    <row r="44" spans="1:4" ht="15" customHeight="1" x14ac:dyDescent="0.3">
      <c r="A44" s="3" t="s">
        <v>46</v>
      </c>
      <c r="B44" s="3"/>
      <c r="C44" s="3"/>
      <c r="D44" s="3"/>
    </row>
    <row r="45" spans="1:4" ht="15" customHeight="1" x14ac:dyDescent="0.3">
      <c r="A45" s="4" t="s">
        <v>47</v>
      </c>
      <c r="B45" s="4"/>
      <c r="C45" s="4"/>
      <c r="D45" s="4"/>
    </row>
    <row r="46" spans="1:4" ht="15" customHeight="1" x14ac:dyDescent="0.3">
      <c r="A46" s="3" t="s">
        <v>48</v>
      </c>
      <c r="B46" s="3"/>
      <c r="C46" s="3"/>
      <c r="D46" s="3"/>
    </row>
    <row r="47" spans="1:4" ht="15" customHeight="1" x14ac:dyDescent="0.3">
      <c r="A47" s="4" t="s">
        <v>49</v>
      </c>
      <c r="B47" s="4"/>
      <c r="C47" s="4"/>
      <c r="D47" s="4"/>
    </row>
    <row r="48" spans="1:4" ht="15" customHeight="1" x14ac:dyDescent="0.3">
      <c r="A48" s="3" t="s">
        <v>50</v>
      </c>
      <c r="B48" s="3"/>
      <c r="C48" s="3"/>
      <c r="D48" s="3"/>
    </row>
    <row r="49" spans="1:4" ht="15" customHeight="1" x14ac:dyDescent="0.3">
      <c r="A49" s="4" t="s">
        <v>51</v>
      </c>
      <c r="B49" s="4"/>
      <c r="C49" s="4"/>
      <c r="D49" s="4"/>
    </row>
    <row r="50" spans="1:4" ht="15" customHeight="1" x14ac:dyDescent="0.3">
      <c r="A50" s="3" t="s">
        <v>52</v>
      </c>
      <c r="B50" s="3"/>
      <c r="C50" s="3"/>
      <c r="D50" s="3"/>
    </row>
    <row r="51" spans="1:4" ht="15" customHeight="1" x14ac:dyDescent="0.3">
      <c r="A51" s="4" t="s">
        <v>53</v>
      </c>
      <c r="B51" s="4"/>
      <c r="C51" s="4"/>
      <c r="D51" s="4"/>
    </row>
    <row r="52" spans="1:4" ht="15" customHeight="1" x14ac:dyDescent="0.3">
      <c r="A52" s="3" t="s">
        <v>54</v>
      </c>
      <c r="B52" s="3"/>
      <c r="C52" s="3"/>
      <c r="D52" s="3"/>
    </row>
    <row r="53" spans="1:4" ht="15" customHeight="1" x14ac:dyDescent="0.3">
      <c r="A53" s="4" t="s">
        <v>55</v>
      </c>
      <c r="B53" s="4"/>
      <c r="C53" s="4"/>
      <c r="D53" s="4"/>
    </row>
    <row r="54" spans="1:4" ht="15" customHeight="1" x14ac:dyDescent="0.3">
      <c r="A54" s="3" t="s">
        <v>56</v>
      </c>
      <c r="B54" s="3"/>
      <c r="C54" s="3"/>
      <c r="D54" s="3"/>
    </row>
    <row r="55" spans="1:4" ht="15" customHeight="1" x14ac:dyDescent="0.3">
      <c r="A55" s="6" t="s">
        <v>58</v>
      </c>
      <c r="B55" s="6">
        <f>SUM(B12,B13,B14,B15)</f>
        <v>0</v>
      </c>
      <c r="C55" s="6">
        <f t="shared" ref="C55:D55" si="0">SUM(C12,C13,C14,C15)</f>
        <v>0</v>
      </c>
      <c r="D55" s="6">
        <f t="shared" si="0"/>
        <v>0</v>
      </c>
    </row>
    <row r="56" spans="1:4" ht="15" customHeight="1" x14ac:dyDescent="0.3">
      <c r="A56" s="8" t="s">
        <v>57</v>
      </c>
      <c r="B56" s="8">
        <f>SUM(B40,B41,B42,B43)</f>
        <v>0</v>
      </c>
      <c r="C56" s="8">
        <f t="shared" ref="C56:D56" si="1">SUM(C40,C41,C42,C43)</f>
        <v>0</v>
      </c>
      <c r="D56" s="8">
        <f t="shared" si="1"/>
        <v>0</v>
      </c>
    </row>
  </sheetData>
  <autoFilter ref="A1:D5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/>
      <c r="C2" s="3"/>
      <c r="D2" s="3"/>
    </row>
    <row r="3" spans="1:4" ht="15" customHeight="1" x14ac:dyDescent="0.3">
      <c r="A3" s="4" t="s">
        <v>5</v>
      </c>
      <c r="B3" s="4"/>
      <c r="C3" s="4"/>
      <c r="D3" s="4"/>
    </row>
    <row r="4" spans="1:4" ht="15" customHeight="1" x14ac:dyDescent="0.3">
      <c r="A4" s="3" t="s">
        <v>6</v>
      </c>
      <c r="B4" s="3"/>
      <c r="C4" s="3"/>
      <c r="D4" s="3"/>
    </row>
    <row r="5" spans="1:4" ht="15" customHeight="1" x14ac:dyDescent="0.3">
      <c r="A5" s="4" t="s">
        <v>7</v>
      </c>
      <c r="B5" s="4"/>
      <c r="C5" s="4"/>
      <c r="D5" s="4"/>
    </row>
    <row r="6" spans="1:4" ht="15" customHeight="1" x14ac:dyDescent="0.3">
      <c r="A6" s="3" t="s">
        <v>8</v>
      </c>
      <c r="B6" s="3"/>
      <c r="C6" s="3"/>
      <c r="D6" s="3"/>
    </row>
    <row r="7" spans="1:4" ht="15" customHeight="1" x14ac:dyDescent="0.3">
      <c r="A7" s="4" t="s">
        <v>9</v>
      </c>
      <c r="B7" s="4"/>
      <c r="C7" s="4"/>
      <c r="D7" s="4"/>
    </row>
    <row r="8" spans="1:4" ht="15" customHeight="1" x14ac:dyDescent="0.3">
      <c r="A8" s="3" t="s">
        <v>10</v>
      </c>
      <c r="B8" s="3"/>
      <c r="C8" s="3"/>
      <c r="D8" s="3"/>
    </row>
    <row r="9" spans="1:4" ht="15" customHeight="1" x14ac:dyDescent="0.3">
      <c r="A9" s="4" t="s">
        <v>11</v>
      </c>
      <c r="B9" s="4"/>
      <c r="C9" s="4"/>
      <c r="D9" s="4"/>
    </row>
    <row r="10" spans="1:4" ht="15" customHeight="1" x14ac:dyDescent="0.3">
      <c r="A10" s="3" t="s">
        <v>12</v>
      </c>
      <c r="B10" s="3"/>
      <c r="C10" s="3"/>
      <c r="D10" s="3"/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/>
      <c r="C12" s="5"/>
      <c r="D12" s="5"/>
    </row>
    <row r="13" spans="1:4" ht="15" customHeight="1" x14ac:dyDescent="0.3">
      <c r="A13" s="6" t="s">
        <v>15</v>
      </c>
      <c r="B13" s="6"/>
      <c r="C13" s="6"/>
      <c r="D13" s="6"/>
    </row>
    <row r="14" spans="1:4" ht="15" customHeight="1" x14ac:dyDescent="0.3">
      <c r="A14" s="5" t="s">
        <v>16</v>
      </c>
      <c r="B14" s="5"/>
      <c r="C14" s="5"/>
      <c r="D14" s="5"/>
    </row>
    <row r="15" spans="1:4" ht="15" customHeight="1" x14ac:dyDescent="0.3">
      <c r="A15" s="6" t="s">
        <v>17</v>
      </c>
      <c r="B15" s="6"/>
      <c r="C15" s="6"/>
      <c r="D15" s="6"/>
    </row>
    <row r="16" spans="1:4" ht="15" customHeight="1" x14ac:dyDescent="0.3">
      <c r="A16" s="3" t="s">
        <v>18</v>
      </c>
      <c r="B16" s="3"/>
      <c r="C16" s="3"/>
      <c r="D16" s="3"/>
    </row>
    <row r="17" spans="1:4" ht="15" customHeight="1" x14ac:dyDescent="0.3">
      <c r="A17" s="4" t="s">
        <v>19</v>
      </c>
      <c r="B17" s="4"/>
      <c r="C17" s="4"/>
      <c r="D17" s="4"/>
    </row>
    <row r="18" spans="1:4" ht="15" customHeight="1" x14ac:dyDescent="0.3">
      <c r="A18" s="3" t="s">
        <v>20</v>
      </c>
      <c r="B18" s="3"/>
      <c r="C18" s="3"/>
      <c r="D18" s="3"/>
    </row>
    <row r="19" spans="1:4" ht="15" customHeight="1" x14ac:dyDescent="0.3">
      <c r="A19" s="4" t="s">
        <v>21</v>
      </c>
      <c r="B19" s="4"/>
      <c r="C19" s="4"/>
      <c r="D19" s="4"/>
    </row>
    <row r="20" spans="1:4" ht="15" customHeight="1" x14ac:dyDescent="0.3">
      <c r="A20" s="3" t="s">
        <v>22</v>
      </c>
      <c r="B20" s="3"/>
      <c r="C20" s="3"/>
      <c r="D20" s="3"/>
    </row>
    <row r="21" spans="1:4" ht="15" customHeight="1" x14ac:dyDescent="0.3">
      <c r="A21" s="4" t="s">
        <v>23</v>
      </c>
      <c r="B21" s="4"/>
      <c r="C21" s="4"/>
      <c r="D21" s="4"/>
    </row>
    <row r="22" spans="1:4" ht="15" customHeight="1" x14ac:dyDescent="0.3">
      <c r="A22" s="3" t="s">
        <v>24</v>
      </c>
      <c r="B22" s="3"/>
      <c r="C22" s="3"/>
      <c r="D22" s="3"/>
    </row>
    <row r="23" spans="1:4" ht="15" customHeight="1" x14ac:dyDescent="0.3">
      <c r="A23" s="4" t="s">
        <v>25</v>
      </c>
      <c r="B23" s="4"/>
      <c r="C23" s="4"/>
      <c r="D23" s="4"/>
    </row>
    <row r="24" spans="1:4" ht="15" customHeight="1" x14ac:dyDescent="0.3">
      <c r="A24" s="3" t="s">
        <v>26</v>
      </c>
      <c r="B24" s="3"/>
      <c r="C24" s="3"/>
      <c r="D24" s="3"/>
    </row>
    <row r="25" spans="1:4" ht="15" customHeight="1" x14ac:dyDescent="0.3">
      <c r="A25" s="4" t="s">
        <v>27</v>
      </c>
      <c r="B25" s="4"/>
      <c r="C25" s="4"/>
      <c r="D25" s="4"/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/>
      <c r="C27" s="4"/>
      <c r="D27" s="4"/>
    </row>
    <row r="28" spans="1:4" ht="15" customHeight="1" x14ac:dyDescent="0.3">
      <c r="A28" s="3" t="s">
        <v>30</v>
      </c>
      <c r="B28" s="3"/>
      <c r="C28" s="3"/>
      <c r="D28" s="3"/>
    </row>
    <row r="29" spans="1:4" ht="15" customHeight="1" x14ac:dyDescent="0.3">
      <c r="A29" s="4" t="s">
        <v>31</v>
      </c>
      <c r="B29" s="4"/>
      <c r="C29" s="4"/>
      <c r="D29" s="4"/>
    </row>
    <row r="30" spans="1:4" ht="15" customHeight="1" x14ac:dyDescent="0.3">
      <c r="A30" s="3" t="s">
        <v>32</v>
      </c>
      <c r="B30" s="3"/>
      <c r="C30" s="3"/>
      <c r="D30" s="3"/>
    </row>
    <row r="31" spans="1:4" ht="15" customHeight="1" x14ac:dyDescent="0.3">
      <c r="A31" s="4" t="s">
        <v>33</v>
      </c>
      <c r="B31" s="4"/>
      <c r="C31" s="4"/>
      <c r="D31" s="4"/>
    </row>
    <row r="32" spans="1:4" ht="15" customHeight="1" x14ac:dyDescent="0.3">
      <c r="A32" s="3" t="s">
        <v>34</v>
      </c>
      <c r="B32" s="3"/>
      <c r="C32" s="3"/>
      <c r="D32" s="3"/>
    </row>
    <row r="33" spans="1:4" ht="15" customHeight="1" x14ac:dyDescent="0.3">
      <c r="A33" s="4" t="s">
        <v>35</v>
      </c>
      <c r="B33" s="4"/>
      <c r="C33" s="4"/>
      <c r="D33" s="4"/>
    </row>
    <row r="34" spans="1:4" ht="15" customHeight="1" x14ac:dyDescent="0.3">
      <c r="A34" s="3" t="s">
        <v>36</v>
      </c>
      <c r="B34" s="3"/>
      <c r="C34" s="3"/>
      <c r="D34" s="3"/>
    </row>
    <row r="35" spans="1:4" ht="15" customHeight="1" x14ac:dyDescent="0.3">
      <c r="A35" s="4" t="s">
        <v>37</v>
      </c>
      <c r="B35" s="4"/>
      <c r="C35" s="4"/>
      <c r="D35" s="4"/>
    </row>
    <row r="36" spans="1:4" ht="15" customHeight="1" x14ac:dyDescent="0.3">
      <c r="A36" s="3" t="s">
        <v>38</v>
      </c>
      <c r="B36" s="3"/>
      <c r="C36" s="3"/>
      <c r="D36" s="3"/>
    </row>
    <row r="37" spans="1:4" ht="15" customHeight="1" x14ac:dyDescent="0.3">
      <c r="A37" s="4" t="s">
        <v>39</v>
      </c>
      <c r="B37" s="4"/>
      <c r="C37" s="4"/>
      <c r="D37" s="4"/>
    </row>
    <row r="38" spans="1:4" ht="15" customHeight="1" x14ac:dyDescent="0.3">
      <c r="A38" s="3" t="s">
        <v>40</v>
      </c>
      <c r="B38" s="3"/>
      <c r="C38" s="3"/>
      <c r="D38" s="3"/>
    </row>
    <row r="39" spans="1:4" ht="15" customHeight="1" x14ac:dyDescent="0.3">
      <c r="A39" s="4" t="s">
        <v>41</v>
      </c>
      <c r="B39" s="4"/>
      <c r="C39" s="4"/>
      <c r="D39" s="4"/>
    </row>
    <row r="40" spans="1:4" ht="15" customHeight="1" x14ac:dyDescent="0.3">
      <c r="A40" s="7" t="s">
        <v>42</v>
      </c>
      <c r="B40" s="7"/>
      <c r="C40" s="7"/>
      <c r="D40" s="7"/>
    </row>
    <row r="41" spans="1:4" ht="15" customHeight="1" x14ac:dyDescent="0.3">
      <c r="A41" s="8" t="s">
        <v>43</v>
      </c>
      <c r="B41" s="8"/>
      <c r="C41" s="8"/>
      <c r="D41" s="8"/>
    </row>
    <row r="42" spans="1:4" ht="15" customHeight="1" x14ac:dyDescent="0.3">
      <c r="A42" s="7" t="s">
        <v>44</v>
      </c>
      <c r="B42" s="7"/>
      <c r="C42" s="7"/>
      <c r="D42" s="7"/>
    </row>
    <row r="43" spans="1:4" ht="15" customHeight="1" x14ac:dyDescent="0.3">
      <c r="A43" s="8" t="s">
        <v>45</v>
      </c>
      <c r="B43" s="8"/>
      <c r="C43" s="8"/>
      <c r="D43" s="8"/>
    </row>
    <row r="44" spans="1:4" ht="15" customHeight="1" x14ac:dyDescent="0.3">
      <c r="A44" s="3" t="s">
        <v>46</v>
      </c>
      <c r="B44" s="3"/>
      <c r="C44" s="3"/>
      <c r="D44" s="3"/>
    </row>
    <row r="45" spans="1:4" ht="15" customHeight="1" x14ac:dyDescent="0.3">
      <c r="A45" s="4" t="s">
        <v>47</v>
      </c>
      <c r="B45" s="4"/>
      <c r="C45" s="4"/>
      <c r="D45" s="4"/>
    </row>
    <row r="46" spans="1:4" ht="15" customHeight="1" x14ac:dyDescent="0.3">
      <c r="A46" s="3" t="s">
        <v>48</v>
      </c>
      <c r="B46" s="3"/>
      <c r="C46" s="3"/>
      <c r="D46" s="3"/>
    </row>
    <row r="47" spans="1:4" ht="15" customHeight="1" x14ac:dyDescent="0.3">
      <c r="A47" s="4" t="s">
        <v>49</v>
      </c>
      <c r="B47" s="4"/>
      <c r="C47" s="4"/>
      <c r="D47" s="4"/>
    </row>
    <row r="48" spans="1:4" ht="15" customHeight="1" x14ac:dyDescent="0.3">
      <c r="A48" s="3" t="s">
        <v>50</v>
      </c>
      <c r="B48" s="3"/>
      <c r="C48" s="3"/>
      <c r="D48" s="3"/>
    </row>
    <row r="49" spans="1:4" ht="15" customHeight="1" x14ac:dyDescent="0.3">
      <c r="A49" s="4" t="s">
        <v>51</v>
      </c>
      <c r="B49" s="4"/>
      <c r="C49" s="4"/>
      <c r="D49" s="4"/>
    </row>
    <row r="50" spans="1:4" ht="15" customHeight="1" x14ac:dyDescent="0.3">
      <c r="A50" s="3" t="s">
        <v>52</v>
      </c>
      <c r="B50" s="3"/>
      <c r="C50" s="3"/>
      <c r="D50" s="3"/>
    </row>
    <row r="51" spans="1:4" ht="15" customHeight="1" x14ac:dyDescent="0.3">
      <c r="A51" s="4" t="s">
        <v>53</v>
      </c>
      <c r="B51" s="4"/>
      <c r="C51" s="4"/>
      <c r="D51" s="4"/>
    </row>
    <row r="52" spans="1:4" ht="15" customHeight="1" x14ac:dyDescent="0.3">
      <c r="A52" s="3" t="s">
        <v>54</v>
      </c>
      <c r="B52" s="3"/>
      <c r="C52" s="3"/>
      <c r="D52" s="3"/>
    </row>
    <row r="53" spans="1:4" ht="15" customHeight="1" x14ac:dyDescent="0.3">
      <c r="A53" s="4" t="s">
        <v>55</v>
      </c>
      <c r="B53" s="4"/>
      <c r="C53" s="4"/>
      <c r="D53" s="4"/>
    </row>
    <row r="54" spans="1:4" ht="15" customHeight="1" x14ac:dyDescent="0.3">
      <c r="A54" s="3" t="s">
        <v>56</v>
      </c>
      <c r="B54" s="3"/>
      <c r="C54" s="3"/>
      <c r="D54" s="3"/>
    </row>
    <row r="55" spans="1:4" ht="15" customHeight="1" x14ac:dyDescent="0.3">
      <c r="A55" s="6" t="s">
        <v>58</v>
      </c>
      <c r="B55" s="6">
        <f>SUM(B12,B13,B14,B15)</f>
        <v>0</v>
      </c>
      <c r="C55" s="6">
        <f t="shared" ref="C55:D55" si="0">SUM(C12,C13,C14,C15)</f>
        <v>0</v>
      </c>
      <c r="D55" s="6">
        <f t="shared" si="0"/>
        <v>0</v>
      </c>
    </row>
    <row r="56" spans="1:4" ht="15" customHeight="1" x14ac:dyDescent="0.3">
      <c r="A56" s="8" t="s">
        <v>57</v>
      </c>
      <c r="B56" s="8">
        <f>SUM(B40,B41,B42,B43)</f>
        <v>0</v>
      </c>
      <c r="C56" s="8">
        <f t="shared" ref="C56:D56" si="1">SUM(C40,C41,C42,C43)</f>
        <v>0</v>
      </c>
      <c r="D56" s="8">
        <f t="shared" si="1"/>
        <v>0</v>
      </c>
    </row>
  </sheetData>
  <autoFilter ref="A1:D56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/>
      <c r="C2" s="3"/>
      <c r="D2" s="3"/>
    </row>
    <row r="3" spans="1:4" ht="15" customHeight="1" x14ac:dyDescent="0.3">
      <c r="A3" s="4" t="s">
        <v>5</v>
      </c>
      <c r="B3" s="4"/>
      <c r="C3" s="4"/>
      <c r="D3" s="4"/>
    </row>
    <row r="4" spans="1:4" ht="15" customHeight="1" x14ac:dyDescent="0.3">
      <c r="A4" s="3" t="s">
        <v>6</v>
      </c>
      <c r="B4" s="3"/>
      <c r="C4" s="3"/>
      <c r="D4" s="3"/>
    </row>
    <row r="5" spans="1:4" ht="15" customHeight="1" x14ac:dyDescent="0.3">
      <c r="A5" s="4" t="s">
        <v>7</v>
      </c>
      <c r="B5" s="4"/>
      <c r="C5" s="4"/>
      <c r="D5" s="4"/>
    </row>
    <row r="6" spans="1:4" ht="15" customHeight="1" x14ac:dyDescent="0.3">
      <c r="A6" s="3" t="s">
        <v>8</v>
      </c>
      <c r="B6" s="3"/>
      <c r="C6" s="3"/>
      <c r="D6" s="3"/>
    </row>
    <row r="7" spans="1:4" ht="15" customHeight="1" x14ac:dyDescent="0.3">
      <c r="A7" s="4" t="s">
        <v>9</v>
      </c>
      <c r="B7" s="4"/>
      <c r="C7" s="4"/>
      <c r="D7" s="4"/>
    </row>
    <row r="8" spans="1:4" ht="15" customHeight="1" x14ac:dyDescent="0.3">
      <c r="A8" s="3" t="s">
        <v>10</v>
      </c>
      <c r="B8" s="3"/>
      <c r="C8" s="3"/>
      <c r="D8" s="3"/>
    </row>
    <row r="9" spans="1:4" ht="15" customHeight="1" x14ac:dyDescent="0.3">
      <c r="A9" s="4" t="s">
        <v>11</v>
      </c>
      <c r="B9" s="4"/>
      <c r="C9" s="4"/>
      <c r="D9" s="4"/>
    </row>
    <row r="10" spans="1:4" ht="15" customHeight="1" x14ac:dyDescent="0.3">
      <c r="A10" s="3" t="s">
        <v>12</v>
      </c>
      <c r="B10" s="3"/>
      <c r="C10" s="3"/>
      <c r="D10" s="3"/>
    </row>
    <row r="11" spans="1:4" ht="15" customHeight="1" x14ac:dyDescent="0.3">
      <c r="A11" s="4" t="s">
        <v>13</v>
      </c>
      <c r="B11" s="4"/>
      <c r="C11" s="4"/>
      <c r="D11" s="4"/>
    </row>
    <row r="12" spans="1:4" ht="15" customHeight="1" x14ac:dyDescent="0.3">
      <c r="A12" s="5" t="s">
        <v>14</v>
      </c>
      <c r="B12" s="5"/>
      <c r="C12" s="5"/>
      <c r="D12" s="5"/>
    </row>
    <row r="13" spans="1:4" ht="15" customHeight="1" x14ac:dyDescent="0.3">
      <c r="A13" s="6" t="s">
        <v>15</v>
      </c>
      <c r="B13" s="6"/>
      <c r="C13" s="6"/>
      <c r="D13" s="6"/>
    </row>
    <row r="14" spans="1:4" ht="15" customHeight="1" x14ac:dyDescent="0.3">
      <c r="A14" s="5" t="s">
        <v>16</v>
      </c>
      <c r="B14" s="5"/>
      <c r="C14" s="5"/>
      <c r="D14" s="5"/>
    </row>
    <row r="15" spans="1:4" ht="15" customHeight="1" x14ac:dyDescent="0.3">
      <c r="A15" s="6" t="s">
        <v>17</v>
      </c>
      <c r="B15" s="6"/>
      <c r="C15" s="6"/>
      <c r="D15" s="6"/>
    </row>
    <row r="16" spans="1:4" ht="15" customHeight="1" x14ac:dyDescent="0.3">
      <c r="A16" s="3" t="s">
        <v>18</v>
      </c>
      <c r="B16" s="3"/>
      <c r="C16" s="3"/>
      <c r="D16" s="3"/>
    </row>
    <row r="17" spans="1:4" ht="15" customHeight="1" x14ac:dyDescent="0.3">
      <c r="A17" s="4" t="s">
        <v>19</v>
      </c>
      <c r="B17" s="4"/>
      <c r="C17" s="4"/>
      <c r="D17" s="4"/>
    </row>
    <row r="18" spans="1:4" ht="15" customHeight="1" x14ac:dyDescent="0.3">
      <c r="A18" s="3" t="s">
        <v>20</v>
      </c>
      <c r="B18" s="3"/>
      <c r="C18" s="3"/>
      <c r="D18" s="3"/>
    </row>
    <row r="19" spans="1:4" ht="15" customHeight="1" x14ac:dyDescent="0.3">
      <c r="A19" s="4" t="s">
        <v>21</v>
      </c>
      <c r="B19" s="4"/>
      <c r="C19" s="4"/>
      <c r="D19" s="4"/>
    </row>
    <row r="20" spans="1:4" ht="15" customHeight="1" x14ac:dyDescent="0.3">
      <c r="A20" s="3" t="s">
        <v>22</v>
      </c>
      <c r="B20" s="3"/>
      <c r="C20" s="3"/>
      <c r="D20" s="3"/>
    </row>
    <row r="21" spans="1:4" ht="15" customHeight="1" x14ac:dyDescent="0.3">
      <c r="A21" s="4" t="s">
        <v>23</v>
      </c>
      <c r="B21" s="4"/>
      <c r="C21" s="4"/>
      <c r="D21" s="4"/>
    </row>
    <row r="22" spans="1:4" ht="15" customHeight="1" x14ac:dyDescent="0.3">
      <c r="A22" s="3" t="s">
        <v>24</v>
      </c>
      <c r="B22" s="3"/>
      <c r="C22" s="3"/>
      <c r="D22" s="3"/>
    </row>
    <row r="23" spans="1:4" ht="15" customHeight="1" x14ac:dyDescent="0.3">
      <c r="A23" s="4" t="s">
        <v>25</v>
      </c>
      <c r="B23" s="4"/>
      <c r="C23" s="4"/>
      <c r="D23" s="4"/>
    </row>
    <row r="24" spans="1:4" ht="15" customHeight="1" x14ac:dyDescent="0.3">
      <c r="A24" s="3" t="s">
        <v>26</v>
      </c>
      <c r="B24" s="3"/>
      <c r="C24" s="3"/>
      <c r="D24" s="3"/>
    </row>
    <row r="25" spans="1:4" ht="15" customHeight="1" x14ac:dyDescent="0.3">
      <c r="A25" s="4" t="s">
        <v>27</v>
      </c>
      <c r="B25" s="4"/>
      <c r="C25" s="4"/>
      <c r="D25" s="4"/>
    </row>
    <row r="26" spans="1:4" ht="15" customHeight="1" x14ac:dyDescent="0.3">
      <c r="A26" s="3" t="s">
        <v>28</v>
      </c>
      <c r="B26" s="3"/>
      <c r="C26" s="3"/>
      <c r="D26" s="3"/>
    </row>
    <row r="27" spans="1:4" ht="15" customHeight="1" x14ac:dyDescent="0.3">
      <c r="A27" s="4" t="s">
        <v>29</v>
      </c>
      <c r="B27" s="4"/>
      <c r="C27" s="4"/>
      <c r="D27" s="4"/>
    </row>
    <row r="28" spans="1:4" ht="15" customHeight="1" x14ac:dyDescent="0.3">
      <c r="A28" s="3" t="s">
        <v>30</v>
      </c>
      <c r="B28" s="3"/>
      <c r="C28" s="3"/>
      <c r="D28" s="3"/>
    </row>
    <row r="29" spans="1:4" ht="15" customHeight="1" x14ac:dyDescent="0.3">
      <c r="A29" s="4" t="s">
        <v>31</v>
      </c>
      <c r="B29" s="4"/>
      <c r="C29" s="4"/>
      <c r="D29" s="4"/>
    </row>
    <row r="30" spans="1:4" ht="15" customHeight="1" x14ac:dyDescent="0.3">
      <c r="A30" s="3" t="s">
        <v>32</v>
      </c>
      <c r="B30" s="3"/>
      <c r="C30" s="3"/>
      <c r="D30" s="3"/>
    </row>
    <row r="31" spans="1:4" ht="15" customHeight="1" x14ac:dyDescent="0.3">
      <c r="A31" s="4" t="s">
        <v>33</v>
      </c>
      <c r="B31" s="4"/>
      <c r="C31" s="4"/>
      <c r="D31" s="4"/>
    </row>
    <row r="32" spans="1:4" ht="15" customHeight="1" x14ac:dyDescent="0.3">
      <c r="A32" s="3" t="s">
        <v>34</v>
      </c>
      <c r="B32" s="3"/>
      <c r="C32" s="3"/>
      <c r="D32" s="3"/>
    </row>
    <row r="33" spans="1:4" ht="15" customHeight="1" x14ac:dyDescent="0.3">
      <c r="A33" s="4" t="s">
        <v>35</v>
      </c>
      <c r="B33" s="4"/>
      <c r="C33" s="4"/>
      <c r="D33" s="4"/>
    </row>
    <row r="34" spans="1:4" ht="15" customHeight="1" x14ac:dyDescent="0.3">
      <c r="A34" s="3" t="s">
        <v>36</v>
      </c>
      <c r="B34" s="3"/>
      <c r="C34" s="3"/>
      <c r="D34" s="3"/>
    </row>
    <row r="35" spans="1:4" ht="15" customHeight="1" x14ac:dyDescent="0.3">
      <c r="A35" s="4" t="s">
        <v>37</v>
      </c>
      <c r="B35" s="4"/>
      <c r="C35" s="4"/>
      <c r="D35" s="4"/>
    </row>
    <row r="36" spans="1:4" ht="15" customHeight="1" x14ac:dyDescent="0.3">
      <c r="A36" s="3" t="s">
        <v>38</v>
      </c>
      <c r="B36" s="3"/>
      <c r="C36" s="3"/>
      <c r="D36" s="3"/>
    </row>
    <row r="37" spans="1:4" ht="15" customHeight="1" x14ac:dyDescent="0.3">
      <c r="A37" s="4" t="s">
        <v>39</v>
      </c>
      <c r="B37" s="4"/>
      <c r="C37" s="4"/>
      <c r="D37" s="4"/>
    </row>
    <row r="38" spans="1:4" ht="15" customHeight="1" x14ac:dyDescent="0.3">
      <c r="A38" s="3" t="s">
        <v>40</v>
      </c>
      <c r="B38" s="3"/>
      <c r="C38" s="3"/>
      <c r="D38" s="3"/>
    </row>
    <row r="39" spans="1:4" ht="15" customHeight="1" x14ac:dyDescent="0.3">
      <c r="A39" s="4" t="s">
        <v>41</v>
      </c>
      <c r="B39" s="4"/>
      <c r="C39" s="4"/>
      <c r="D39" s="4"/>
    </row>
    <row r="40" spans="1:4" ht="15" customHeight="1" x14ac:dyDescent="0.3">
      <c r="A40" s="7" t="s">
        <v>42</v>
      </c>
      <c r="B40" s="7"/>
      <c r="C40" s="7"/>
      <c r="D40" s="7"/>
    </row>
    <row r="41" spans="1:4" ht="15" customHeight="1" x14ac:dyDescent="0.3">
      <c r="A41" s="8" t="s">
        <v>43</v>
      </c>
      <c r="B41" s="8"/>
      <c r="C41" s="8"/>
      <c r="D41" s="8"/>
    </row>
    <row r="42" spans="1:4" ht="15" customHeight="1" x14ac:dyDescent="0.3">
      <c r="A42" s="7" t="s">
        <v>44</v>
      </c>
      <c r="B42" s="7"/>
      <c r="C42" s="7"/>
      <c r="D42" s="7"/>
    </row>
    <row r="43" spans="1:4" ht="15" customHeight="1" x14ac:dyDescent="0.3">
      <c r="A43" s="8" t="s">
        <v>45</v>
      </c>
      <c r="B43" s="8"/>
      <c r="C43" s="8"/>
      <c r="D43" s="8"/>
    </row>
    <row r="44" spans="1:4" ht="15" customHeight="1" x14ac:dyDescent="0.3">
      <c r="A44" s="3" t="s">
        <v>46</v>
      </c>
      <c r="B44" s="3"/>
      <c r="C44" s="3"/>
      <c r="D44" s="3"/>
    </row>
    <row r="45" spans="1:4" ht="15" customHeight="1" x14ac:dyDescent="0.3">
      <c r="A45" s="4" t="s">
        <v>47</v>
      </c>
      <c r="B45" s="4"/>
      <c r="C45" s="4"/>
      <c r="D45" s="4"/>
    </row>
    <row r="46" spans="1:4" ht="15" customHeight="1" x14ac:dyDescent="0.3">
      <c r="A46" s="3" t="s">
        <v>48</v>
      </c>
      <c r="B46" s="3"/>
      <c r="C46" s="3"/>
      <c r="D46" s="3"/>
    </row>
    <row r="47" spans="1:4" ht="15" customHeight="1" x14ac:dyDescent="0.3">
      <c r="A47" s="4" t="s">
        <v>49</v>
      </c>
      <c r="B47" s="4"/>
      <c r="C47" s="4"/>
      <c r="D47" s="4"/>
    </row>
    <row r="48" spans="1:4" ht="15" customHeight="1" x14ac:dyDescent="0.3">
      <c r="A48" s="3" t="s">
        <v>50</v>
      </c>
      <c r="B48" s="3"/>
      <c r="C48" s="3"/>
      <c r="D48" s="3"/>
    </row>
    <row r="49" spans="1:4" ht="15" customHeight="1" x14ac:dyDescent="0.3">
      <c r="A49" s="4" t="s">
        <v>51</v>
      </c>
      <c r="B49" s="4"/>
      <c r="C49" s="4"/>
      <c r="D49" s="4"/>
    </row>
    <row r="50" spans="1:4" ht="15" customHeight="1" x14ac:dyDescent="0.3">
      <c r="A50" s="3" t="s">
        <v>52</v>
      </c>
      <c r="B50" s="3"/>
      <c r="C50" s="3"/>
      <c r="D50" s="3"/>
    </row>
    <row r="51" spans="1:4" ht="15" customHeight="1" x14ac:dyDescent="0.3">
      <c r="A51" s="4" t="s">
        <v>53</v>
      </c>
      <c r="B51" s="4"/>
      <c r="C51" s="4"/>
      <c r="D51" s="4"/>
    </row>
    <row r="52" spans="1:4" ht="15" customHeight="1" x14ac:dyDescent="0.3">
      <c r="A52" s="3" t="s">
        <v>54</v>
      </c>
      <c r="B52" s="3"/>
      <c r="C52" s="3"/>
      <c r="D52" s="3"/>
    </row>
    <row r="53" spans="1:4" ht="15" customHeight="1" x14ac:dyDescent="0.3">
      <c r="A53" s="4" t="s">
        <v>55</v>
      </c>
      <c r="B53" s="4"/>
      <c r="C53" s="4"/>
      <c r="D53" s="4"/>
    </row>
    <row r="54" spans="1:4" ht="15" customHeight="1" x14ac:dyDescent="0.3">
      <c r="A54" s="3" t="s">
        <v>56</v>
      </c>
      <c r="B54" s="3"/>
      <c r="C54" s="3"/>
      <c r="D54" s="3"/>
    </row>
    <row r="55" spans="1:4" ht="15" customHeight="1" x14ac:dyDescent="0.3">
      <c r="A55" s="6" t="s">
        <v>58</v>
      </c>
      <c r="B55" s="6">
        <f>SUM(B12,B13,B14,B15)</f>
        <v>0</v>
      </c>
      <c r="C55" s="6">
        <f t="shared" ref="C55:D55" si="0">SUM(C12,C13,C14,C15)</f>
        <v>0</v>
      </c>
      <c r="D55" s="6">
        <f t="shared" si="0"/>
        <v>0</v>
      </c>
    </row>
    <row r="56" spans="1:4" ht="15" customHeight="1" x14ac:dyDescent="0.3">
      <c r="A56" s="8" t="s">
        <v>57</v>
      </c>
      <c r="B56" s="8">
        <f>SUM(B40,B41,B42,B43)</f>
        <v>0</v>
      </c>
      <c r="C56" s="8">
        <f t="shared" ref="C56:D56" si="1">SUM(C40,C41,C42,C43)</f>
        <v>0</v>
      </c>
      <c r="D56" s="8">
        <f t="shared" si="1"/>
        <v>0</v>
      </c>
    </row>
  </sheetData>
  <autoFilter ref="A1:D56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4" width="35.6640625" customWidth="1"/>
  </cols>
  <sheetData>
    <row r="1" spans="1:4" ht="60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 t="s">
        <v>4</v>
      </c>
      <c r="B2" s="3">
        <f>SUM(January:December!B2)</f>
        <v>40522</v>
      </c>
      <c r="C2" s="3">
        <f>SUM(January:December!C2)</f>
        <v>13021</v>
      </c>
      <c r="D2" s="3">
        <f>SUM(January:December!D2)</f>
        <v>53543</v>
      </c>
    </row>
    <row r="3" spans="1:4" ht="15" customHeight="1" x14ac:dyDescent="0.3">
      <c r="A3" s="4" t="s">
        <v>5</v>
      </c>
      <c r="B3" s="4">
        <f>SUM(January:December!B3)</f>
        <v>25507</v>
      </c>
      <c r="C3" s="4">
        <f>SUM(January:December!C3)</f>
        <v>5798</v>
      </c>
      <c r="D3" s="4">
        <f>SUM(January:December!D3)</f>
        <v>31305</v>
      </c>
    </row>
    <row r="4" spans="1:4" ht="15" customHeight="1" x14ac:dyDescent="0.3">
      <c r="A4" s="3" t="s">
        <v>6</v>
      </c>
      <c r="B4" s="3">
        <f>SUM(January:December!B4)</f>
        <v>70267</v>
      </c>
      <c r="C4" s="3">
        <f>SUM(January:December!C4)</f>
        <v>10803</v>
      </c>
      <c r="D4" s="3">
        <f>SUM(January:December!D4)</f>
        <v>81070</v>
      </c>
    </row>
    <row r="5" spans="1:4" ht="15" customHeight="1" x14ac:dyDescent="0.3">
      <c r="A5" s="4" t="s">
        <v>7</v>
      </c>
      <c r="B5" s="4">
        <f>SUM(January:December!B5)</f>
        <v>1345</v>
      </c>
      <c r="C5" s="4">
        <f>SUM(January:December!C5)</f>
        <v>215</v>
      </c>
      <c r="D5" s="4">
        <f>SUM(January:December!D5)</f>
        <v>1560</v>
      </c>
    </row>
    <row r="6" spans="1:4" ht="15" customHeight="1" x14ac:dyDescent="0.3">
      <c r="A6" s="3" t="s">
        <v>8</v>
      </c>
      <c r="B6" s="3">
        <f>SUM(January:December!B6)</f>
        <v>49125</v>
      </c>
      <c r="C6" s="3">
        <f>SUM(January:December!C6)</f>
        <v>8791</v>
      </c>
      <c r="D6" s="3">
        <f>SUM(January:December!D6)</f>
        <v>57916</v>
      </c>
    </row>
    <row r="7" spans="1:4" ht="15" customHeight="1" x14ac:dyDescent="0.3">
      <c r="A7" s="4" t="s">
        <v>9</v>
      </c>
      <c r="B7" s="4">
        <f>SUM(January:December!B7)</f>
        <v>5690</v>
      </c>
      <c r="C7" s="4">
        <f>SUM(January:December!C7)</f>
        <v>2299</v>
      </c>
      <c r="D7" s="4">
        <f>SUM(January:December!D7)</f>
        <v>7989</v>
      </c>
    </row>
    <row r="8" spans="1:4" ht="15" customHeight="1" x14ac:dyDescent="0.3">
      <c r="A8" s="3" t="s">
        <v>10</v>
      </c>
      <c r="B8" s="3">
        <f>SUM(January:December!B8)</f>
        <v>3658</v>
      </c>
      <c r="C8" s="3">
        <f>SUM(January:December!C8)</f>
        <v>1058</v>
      </c>
      <c r="D8" s="3">
        <f>SUM(January:December!D8)</f>
        <v>4716</v>
      </c>
    </row>
    <row r="9" spans="1:4" ht="15" customHeight="1" x14ac:dyDescent="0.3">
      <c r="A9" s="4" t="s">
        <v>11</v>
      </c>
      <c r="B9" s="4">
        <f>SUM(January:December!B9)</f>
        <v>2206</v>
      </c>
      <c r="C9" s="4">
        <f>SUM(January:December!C9)</f>
        <v>569</v>
      </c>
      <c r="D9" s="4">
        <f>SUM(January:December!D9)</f>
        <v>2775</v>
      </c>
    </row>
    <row r="10" spans="1:4" ht="15" customHeight="1" x14ac:dyDescent="0.3">
      <c r="A10" s="3" t="s">
        <v>12</v>
      </c>
      <c r="B10" s="3">
        <f>SUM(January:December!B10)</f>
        <v>469</v>
      </c>
      <c r="C10" s="3">
        <f>SUM(January:December!C10)</f>
        <v>5</v>
      </c>
      <c r="D10" s="3">
        <f>SUM(January:December!D10)</f>
        <v>474</v>
      </c>
    </row>
    <row r="11" spans="1:4" ht="15" customHeight="1" x14ac:dyDescent="0.3">
      <c r="A11" s="4" t="s">
        <v>13</v>
      </c>
      <c r="B11" s="4">
        <f>SUM(January:December!B11)</f>
        <v>0</v>
      </c>
      <c r="C11" s="4">
        <f>SUM(January:December!C11)</f>
        <v>0</v>
      </c>
      <c r="D11" s="4">
        <f>SUM(January:December!D11)</f>
        <v>0</v>
      </c>
    </row>
    <row r="12" spans="1:4" ht="15" customHeight="1" x14ac:dyDescent="0.3">
      <c r="A12" s="5" t="s">
        <v>14</v>
      </c>
      <c r="B12" s="5">
        <f>SUM(January:December!B12)</f>
        <v>321</v>
      </c>
      <c r="C12" s="5">
        <f>SUM(January:December!C12)</f>
        <v>53</v>
      </c>
      <c r="D12" s="5">
        <f>SUM(January:December!D12)</f>
        <v>374</v>
      </c>
    </row>
    <row r="13" spans="1:4" ht="15" customHeight="1" x14ac:dyDescent="0.3">
      <c r="A13" s="6" t="s">
        <v>15</v>
      </c>
      <c r="B13" s="6">
        <f>SUM(January:December!B13)</f>
        <v>1163</v>
      </c>
      <c r="C13" s="6">
        <f>SUM(January:December!C13)</f>
        <v>378</v>
      </c>
      <c r="D13" s="6">
        <f>SUM(January:December!D13)</f>
        <v>1541</v>
      </c>
    </row>
    <row r="14" spans="1:4" ht="15" customHeight="1" x14ac:dyDescent="0.3">
      <c r="A14" s="5" t="s">
        <v>16</v>
      </c>
      <c r="B14" s="5">
        <f>SUM(January:December!B14)</f>
        <v>5381</v>
      </c>
      <c r="C14" s="5">
        <f>SUM(January:December!C14)</f>
        <v>1149</v>
      </c>
      <c r="D14" s="5">
        <f>SUM(January:December!D14)</f>
        <v>6530</v>
      </c>
    </row>
    <row r="15" spans="1:4" ht="15" customHeight="1" x14ac:dyDescent="0.3">
      <c r="A15" s="6" t="s">
        <v>17</v>
      </c>
      <c r="B15" s="6">
        <f>SUM(January:December!B15)</f>
        <v>2424</v>
      </c>
      <c r="C15" s="6">
        <f>SUM(January:December!C15)</f>
        <v>421</v>
      </c>
      <c r="D15" s="6">
        <f>SUM(January:December!D15)</f>
        <v>2845</v>
      </c>
    </row>
    <row r="16" spans="1:4" ht="15" customHeight="1" x14ac:dyDescent="0.3">
      <c r="A16" s="3" t="s">
        <v>18</v>
      </c>
      <c r="B16" s="3">
        <f>SUM(January:December!B16)</f>
        <v>2238</v>
      </c>
      <c r="C16" s="3">
        <f>SUM(January:December!C16)</f>
        <v>549</v>
      </c>
      <c r="D16" s="3">
        <f>SUM(January:December!D16)</f>
        <v>2787</v>
      </c>
    </row>
    <row r="17" spans="1:4" ht="15" customHeight="1" x14ac:dyDescent="0.3">
      <c r="A17" s="4" t="s">
        <v>19</v>
      </c>
      <c r="B17" s="4">
        <f>SUM(January:December!B17)</f>
        <v>12794</v>
      </c>
      <c r="C17" s="4">
        <f>SUM(January:December!C17)</f>
        <v>5911</v>
      </c>
      <c r="D17" s="4">
        <f>SUM(January:December!D17)</f>
        <v>18705</v>
      </c>
    </row>
    <row r="18" spans="1:4" ht="15" customHeight="1" x14ac:dyDescent="0.3">
      <c r="A18" s="3" t="s">
        <v>20</v>
      </c>
      <c r="B18" s="3">
        <f>SUM(January:December!B18)</f>
        <v>912</v>
      </c>
      <c r="C18" s="3">
        <f>SUM(January:December!C18)</f>
        <v>725</v>
      </c>
      <c r="D18" s="3">
        <f>SUM(January:December!D18)</f>
        <v>1637</v>
      </c>
    </row>
    <row r="19" spans="1:4" ht="15" customHeight="1" x14ac:dyDescent="0.3">
      <c r="A19" s="4" t="s">
        <v>21</v>
      </c>
      <c r="B19" s="4">
        <f>SUM(January:December!B19)</f>
        <v>15711</v>
      </c>
      <c r="C19" s="4">
        <f>SUM(January:December!C19)</f>
        <v>4710</v>
      </c>
      <c r="D19" s="4">
        <f>SUM(January:December!D19)</f>
        <v>20421</v>
      </c>
    </row>
    <row r="20" spans="1:4" ht="15" customHeight="1" x14ac:dyDescent="0.3">
      <c r="A20" s="3" t="s">
        <v>22</v>
      </c>
      <c r="B20" s="3">
        <f>SUM(January:December!B20)</f>
        <v>205</v>
      </c>
      <c r="C20" s="3">
        <f>SUM(January:December!C20)</f>
        <v>22</v>
      </c>
      <c r="D20" s="3">
        <f>SUM(January:December!D20)</f>
        <v>227</v>
      </c>
    </row>
    <row r="21" spans="1:4" ht="15" customHeight="1" x14ac:dyDescent="0.3">
      <c r="A21" s="4" t="s">
        <v>23</v>
      </c>
      <c r="B21" s="4">
        <f>SUM(January:December!B21)</f>
        <v>14482</v>
      </c>
      <c r="C21" s="4">
        <f>SUM(January:December!C21)</f>
        <v>4597</v>
      </c>
      <c r="D21" s="4">
        <f>SUM(January:December!D21)</f>
        <v>19079</v>
      </c>
    </row>
    <row r="22" spans="1:4" ht="15" customHeight="1" x14ac:dyDescent="0.3">
      <c r="A22" s="3" t="s">
        <v>24</v>
      </c>
      <c r="B22" s="3">
        <f>SUM(January:December!B22)</f>
        <v>2593</v>
      </c>
      <c r="C22" s="3">
        <f>SUM(January:December!C22)</f>
        <v>722</v>
      </c>
      <c r="D22" s="3">
        <f>SUM(January:December!D22)</f>
        <v>3315</v>
      </c>
    </row>
    <row r="23" spans="1:4" ht="15" customHeight="1" x14ac:dyDescent="0.3">
      <c r="A23" s="4" t="s">
        <v>25</v>
      </c>
      <c r="B23" s="4">
        <f>SUM(January:December!B23)</f>
        <v>20287</v>
      </c>
      <c r="C23" s="4">
        <f>SUM(January:December!C23)</f>
        <v>6137</v>
      </c>
      <c r="D23" s="4">
        <f>SUM(January:December!D23)</f>
        <v>26424</v>
      </c>
    </row>
    <row r="24" spans="1:4" ht="15" customHeight="1" x14ac:dyDescent="0.3">
      <c r="A24" s="3" t="s">
        <v>26</v>
      </c>
      <c r="B24" s="3">
        <f>SUM(January:December!B24)</f>
        <v>97713</v>
      </c>
      <c r="C24" s="3">
        <f>SUM(January:December!C24)</f>
        <v>15814</v>
      </c>
      <c r="D24" s="3">
        <f>SUM(January:December!D24)</f>
        <v>113527</v>
      </c>
    </row>
    <row r="25" spans="1:4" ht="15" customHeight="1" x14ac:dyDescent="0.3">
      <c r="A25" s="4" t="s">
        <v>27</v>
      </c>
      <c r="B25" s="4">
        <f>SUM(January:December!B25)</f>
        <v>4239</v>
      </c>
      <c r="C25" s="4">
        <f>SUM(January:December!C25)</f>
        <v>1370</v>
      </c>
      <c r="D25" s="4">
        <f>SUM(January:December!D25)</f>
        <v>5609</v>
      </c>
    </row>
    <row r="26" spans="1:4" ht="15" customHeight="1" x14ac:dyDescent="0.3">
      <c r="A26" s="3" t="s">
        <v>28</v>
      </c>
      <c r="B26" s="3">
        <f>SUM(January:December!B26)</f>
        <v>0</v>
      </c>
      <c r="C26" s="3">
        <f>SUM(January:December!C26)</f>
        <v>0</v>
      </c>
      <c r="D26" s="3">
        <f>SUM(January:December!D26)</f>
        <v>0</v>
      </c>
    </row>
    <row r="27" spans="1:4" ht="15" customHeight="1" x14ac:dyDescent="0.3">
      <c r="A27" s="4" t="s">
        <v>29</v>
      </c>
      <c r="B27" s="4">
        <f>SUM(January:December!B27)</f>
        <v>3909</v>
      </c>
      <c r="C27" s="4">
        <f>SUM(January:December!C27)</f>
        <v>1765</v>
      </c>
      <c r="D27" s="4">
        <f>SUM(January:December!D27)</f>
        <v>5674</v>
      </c>
    </row>
    <row r="28" spans="1:4" ht="15" customHeight="1" x14ac:dyDescent="0.3">
      <c r="A28" s="3" t="s">
        <v>30</v>
      </c>
      <c r="B28" s="3">
        <f>SUM(January:December!B28)</f>
        <v>3123</v>
      </c>
      <c r="C28" s="3">
        <f>SUM(January:December!C28)</f>
        <v>1535</v>
      </c>
      <c r="D28" s="3">
        <f>SUM(January:December!D28)</f>
        <v>4658</v>
      </c>
    </row>
    <row r="29" spans="1:4" ht="15" customHeight="1" x14ac:dyDescent="0.3">
      <c r="A29" s="4" t="s">
        <v>31</v>
      </c>
      <c r="B29" s="4">
        <f>SUM(January:December!B29)</f>
        <v>18246</v>
      </c>
      <c r="C29" s="4">
        <f>SUM(January:December!C29)</f>
        <v>7404</v>
      </c>
      <c r="D29" s="4">
        <f>SUM(January:December!D29)</f>
        <v>25650</v>
      </c>
    </row>
    <row r="30" spans="1:4" ht="15" customHeight="1" x14ac:dyDescent="0.3">
      <c r="A30" s="3" t="s">
        <v>32</v>
      </c>
      <c r="B30" s="3">
        <f>SUM(January:December!B30)</f>
        <v>119</v>
      </c>
      <c r="C30" s="3">
        <f>SUM(January:December!C30)</f>
        <v>321</v>
      </c>
      <c r="D30" s="3">
        <f>SUM(January:December!D30)</f>
        <v>440</v>
      </c>
    </row>
    <row r="31" spans="1:4" ht="15" customHeight="1" x14ac:dyDescent="0.3">
      <c r="A31" s="4" t="s">
        <v>33</v>
      </c>
      <c r="B31" s="4">
        <f>SUM(January:December!B31)</f>
        <v>2470</v>
      </c>
      <c r="C31" s="4">
        <f>SUM(January:December!C31)</f>
        <v>907</v>
      </c>
      <c r="D31" s="4">
        <f>SUM(January:December!D31)</f>
        <v>3377</v>
      </c>
    </row>
    <row r="32" spans="1:4" ht="15" customHeight="1" x14ac:dyDescent="0.3">
      <c r="A32" s="3" t="s">
        <v>34</v>
      </c>
      <c r="B32" s="3">
        <f>SUM(January:December!B32)</f>
        <v>12384</v>
      </c>
      <c r="C32" s="3">
        <f>SUM(January:December!C32)</f>
        <v>3816</v>
      </c>
      <c r="D32" s="3">
        <f>SUM(January:December!D32)</f>
        <v>16200</v>
      </c>
    </row>
    <row r="33" spans="1:4" ht="15" customHeight="1" x14ac:dyDescent="0.3">
      <c r="A33" s="4" t="s">
        <v>35</v>
      </c>
      <c r="B33" s="4">
        <f>SUM(January:December!B33)</f>
        <v>8416</v>
      </c>
      <c r="C33" s="4">
        <f>SUM(January:December!C33)</f>
        <v>3111</v>
      </c>
      <c r="D33" s="4">
        <f>SUM(January:December!D33)</f>
        <v>11527</v>
      </c>
    </row>
    <row r="34" spans="1:4" ht="15" customHeight="1" x14ac:dyDescent="0.3">
      <c r="A34" s="3" t="s">
        <v>36</v>
      </c>
      <c r="B34" s="3">
        <f>SUM(January:December!B34)</f>
        <v>4206</v>
      </c>
      <c r="C34" s="3">
        <f>SUM(January:December!C34)</f>
        <v>1455</v>
      </c>
      <c r="D34" s="3">
        <f>SUM(January:December!D34)</f>
        <v>5661</v>
      </c>
    </row>
    <row r="35" spans="1:4" ht="15" customHeight="1" x14ac:dyDescent="0.3">
      <c r="A35" s="4" t="s">
        <v>37</v>
      </c>
      <c r="B35" s="4">
        <f>SUM(January:December!B35)</f>
        <v>51422</v>
      </c>
      <c r="C35" s="4">
        <f>SUM(January:December!C35)</f>
        <v>9202</v>
      </c>
      <c r="D35" s="4">
        <f>SUM(January:December!D35)</f>
        <v>60624</v>
      </c>
    </row>
    <row r="36" spans="1:4" ht="15" customHeight="1" x14ac:dyDescent="0.3">
      <c r="A36" s="3" t="s">
        <v>38</v>
      </c>
      <c r="B36" s="3">
        <f>SUM(January:December!B36)</f>
        <v>6922</v>
      </c>
      <c r="C36" s="3">
        <f>SUM(January:December!C36)</f>
        <v>1525</v>
      </c>
      <c r="D36" s="3">
        <f>SUM(January:December!D36)</f>
        <v>8447</v>
      </c>
    </row>
    <row r="37" spans="1:4" ht="15" customHeight="1" x14ac:dyDescent="0.3">
      <c r="A37" s="4" t="s">
        <v>39</v>
      </c>
      <c r="B37" s="4">
        <f>SUM(January:December!B37)</f>
        <v>30215</v>
      </c>
      <c r="C37" s="4">
        <f>SUM(January:December!C37)</f>
        <v>5244</v>
      </c>
      <c r="D37" s="4">
        <f>SUM(January:December!D37)</f>
        <v>35459</v>
      </c>
    </row>
    <row r="38" spans="1:4" ht="15" customHeight="1" x14ac:dyDescent="0.3">
      <c r="A38" s="3" t="s">
        <v>40</v>
      </c>
      <c r="B38" s="3">
        <f>SUM(January:December!B38)</f>
        <v>2517</v>
      </c>
      <c r="C38" s="3">
        <f>SUM(January:December!C38)</f>
        <v>344</v>
      </c>
      <c r="D38" s="3">
        <f>SUM(January:December!D38)</f>
        <v>2861</v>
      </c>
    </row>
    <row r="39" spans="1:4" ht="15" customHeight="1" x14ac:dyDescent="0.3">
      <c r="A39" s="4" t="s">
        <v>41</v>
      </c>
      <c r="B39" s="4">
        <f>SUM(January:December!B39)</f>
        <v>875</v>
      </c>
      <c r="C39" s="4">
        <f>SUM(January:December!C39)</f>
        <v>1185</v>
      </c>
      <c r="D39" s="4">
        <f>SUM(January:December!D39)</f>
        <v>2060</v>
      </c>
    </row>
    <row r="40" spans="1:4" ht="15" customHeight="1" x14ac:dyDescent="0.3">
      <c r="A40" s="7" t="s">
        <v>42</v>
      </c>
      <c r="B40" s="7">
        <f>SUM(January:December!B40)</f>
        <v>3141</v>
      </c>
      <c r="C40" s="7">
        <f>SUM(January:December!C40)</f>
        <v>88</v>
      </c>
      <c r="D40" s="7">
        <f>SUM(January:December!D40)</f>
        <v>3229</v>
      </c>
    </row>
    <row r="41" spans="1:4" ht="15" customHeight="1" x14ac:dyDescent="0.3">
      <c r="A41" s="8" t="s">
        <v>43</v>
      </c>
      <c r="B41" s="8">
        <f>SUM(January:December!B41)</f>
        <v>12298</v>
      </c>
      <c r="C41" s="8">
        <f>SUM(January:December!C41)</f>
        <v>498</v>
      </c>
      <c r="D41" s="8">
        <f>SUM(January:December!D41)</f>
        <v>12796</v>
      </c>
    </row>
    <row r="42" spans="1:4" ht="15" customHeight="1" x14ac:dyDescent="0.3">
      <c r="A42" s="7" t="s">
        <v>44</v>
      </c>
      <c r="B42" s="7">
        <f>SUM(January:December!B42)</f>
        <v>214</v>
      </c>
      <c r="C42" s="7">
        <f>SUM(January:December!C42)</f>
        <v>40</v>
      </c>
      <c r="D42" s="7">
        <f>SUM(January:December!D42)</f>
        <v>254</v>
      </c>
    </row>
    <row r="43" spans="1:4" ht="15" customHeight="1" x14ac:dyDescent="0.3">
      <c r="A43" s="8" t="s">
        <v>45</v>
      </c>
      <c r="B43" s="8">
        <f>SUM(January:December!B43)</f>
        <v>1863</v>
      </c>
      <c r="C43" s="8">
        <f>SUM(January:December!C43)</f>
        <v>66</v>
      </c>
      <c r="D43" s="8">
        <f>SUM(January:December!D43)</f>
        <v>1929</v>
      </c>
    </row>
    <row r="44" spans="1:4" ht="15" customHeight="1" x14ac:dyDescent="0.3">
      <c r="A44" s="3" t="s">
        <v>46</v>
      </c>
      <c r="B44" s="3">
        <f>SUM(January:December!B44)</f>
        <v>3000</v>
      </c>
      <c r="C44" s="3">
        <f>SUM(January:December!C44)</f>
        <v>544</v>
      </c>
      <c r="D44" s="3">
        <f>SUM(January:December!D44)</f>
        <v>3544</v>
      </c>
    </row>
    <row r="45" spans="1:4" ht="15" customHeight="1" x14ac:dyDescent="0.3">
      <c r="A45" s="4" t="s">
        <v>47</v>
      </c>
      <c r="B45" s="4">
        <f>SUM(January:December!B45)</f>
        <v>13253</v>
      </c>
      <c r="C45" s="4">
        <f>SUM(January:December!C45)</f>
        <v>4960</v>
      </c>
      <c r="D45" s="4">
        <f>SUM(January:December!D45)</f>
        <v>18213</v>
      </c>
    </row>
    <row r="46" spans="1:4" ht="15" customHeight="1" x14ac:dyDescent="0.3">
      <c r="A46" s="3" t="s">
        <v>48</v>
      </c>
      <c r="B46" s="3">
        <f>SUM(January:December!B46)</f>
        <v>29055</v>
      </c>
      <c r="C46" s="3">
        <f>SUM(January:December!C46)</f>
        <v>7594</v>
      </c>
      <c r="D46" s="3">
        <f>SUM(January:December!D46)</f>
        <v>36649</v>
      </c>
    </row>
    <row r="47" spans="1:4" ht="15" customHeight="1" x14ac:dyDescent="0.3">
      <c r="A47" s="4" t="s">
        <v>49</v>
      </c>
      <c r="B47" s="4">
        <f>SUM(January:December!B47)</f>
        <v>14184</v>
      </c>
      <c r="C47" s="4">
        <f>SUM(January:December!C47)</f>
        <v>2005</v>
      </c>
      <c r="D47" s="4">
        <f>SUM(January:December!D47)</f>
        <v>16189</v>
      </c>
    </row>
    <row r="48" spans="1:4" ht="15" customHeight="1" x14ac:dyDescent="0.3">
      <c r="A48" s="3" t="s">
        <v>50</v>
      </c>
      <c r="B48" s="3">
        <f>SUM(January:December!B48)</f>
        <v>5334</v>
      </c>
      <c r="C48" s="3">
        <f>SUM(January:December!C48)</f>
        <v>3451</v>
      </c>
      <c r="D48" s="3">
        <f>SUM(January:December!D48)</f>
        <v>8785</v>
      </c>
    </row>
    <row r="49" spans="1:4" ht="15" customHeight="1" x14ac:dyDescent="0.3">
      <c r="A49" s="4" t="s">
        <v>51</v>
      </c>
      <c r="B49" s="4">
        <f>SUM(January:December!B49)</f>
        <v>30008</v>
      </c>
      <c r="C49" s="4">
        <f>SUM(January:December!C49)</f>
        <v>8596</v>
      </c>
      <c r="D49" s="4">
        <f>SUM(January:December!D49)</f>
        <v>38604</v>
      </c>
    </row>
    <row r="50" spans="1:4" ht="15" customHeight="1" x14ac:dyDescent="0.3">
      <c r="A50" s="3" t="s">
        <v>52</v>
      </c>
      <c r="B50" s="3">
        <f>SUM(January:December!B50)</f>
        <v>3333</v>
      </c>
      <c r="C50" s="3">
        <f>SUM(January:December!C50)</f>
        <v>1112</v>
      </c>
      <c r="D50" s="3">
        <f>SUM(January:December!D50)</f>
        <v>4445</v>
      </c>
    </row>
    <row r="51" spans="1:4" ht="15" customHeight="1" x14ac:dyDescent="0.3">
      <c r="A51" s="4" t="s">
        <v>53</v>
      </c>
      <c r="B51" s="4">
        <f>SUM(January:December!B51)</f>
        <v>7638</v>
      </c>
      <c r="C51" s="4">
        <f>SUM(January:December!C51)</f>
        <v>3699</v>
      </c>
      <c r="D51" s="4">
        <f>SUM(January:December!D51)</f>
        <v>11337</v>
      </c>
    </row>
    <row r="52" spans="1:4" ht="15" customHeight="1" x14ac:dyDescent="0.3">
      <c r="A52" s="3" t="s">
        <v>54</v>
      </c>
      <c r="B52" s="3">
        <f>SUM(January:December!B52)</f>
        <v>817</v>
      </c>
      <c r="C52" s="3">
        <f>SUM(January:December!C52)</f>
        <v>825</v>
      </c>
      <c r="D52" s="3">
        <f>SUM(January:December!D52)</f>
        <v>1642</v>
      </c>
    </row>
    <row r="53" spans="1:4" ht="15" customHeight="1" x14ac:dyDescent="0.3">
      <c r="A53" s="4" t="s">
        <v>55</v>
      </c>
      <c r="B53" s="4">
        <f>SUM(January:December!B53)</f>
        <v>1686</v>
      </c>
      <c r="C53" s="4">
        <f>SUM(January:December!C53)</f>
        <v>272</v>
      </c>
      <c r="D53" s="4">
        <f>SUM(January:December!D53)</f>
        <v>1958</v>
      </c>
    </row>
    <row r="54" spans="1:4" ht="15" customHeight="1" x14ac:dyDescent="0.3">
      <c r="A54" s="3" t="s">
        <v>56</v>
      </c>
      <c r="B54" s="3">
        <f>SUM(January:December!B54)</f>
        <v>3339</v>
      </c>
      <c r="C54" s="3">
        <f>SUM(January:December!C54)</f>
        <v>3356</v>
      </c>
      <c r="D54" s="3">
        <f>SUM(January:December!D54)</f>
        <v>6695</v>
      </c>
    </row>
    <row r="55" spans="1:4" ht="15" customHeight="1" x14ac:dyDescent="0.3">
      <c r="A55" s="6" t="s">
        <v>58</v>
      </c>
      <c r="B55" s="6">
        <f>SUM(B12,B13,B14,B15)</f>
        <v>9289</v>
      </c>
      <c r="C55" s="6">
        <f t="shared" ref="C55:D55" si="0">SUM(C12,C13,C14,C15)</f>
        <v>2001</v>
      </c>
      <c r="D55" s="6">
        <f t="shared" si="0"/>
        <v>11290</v>
      </c>
    </row>
    <row r="56" spans="1:4" ht="15" customHeight="1" x14ac:dyDescent="0.3">
      <c r="A56" s="8" t="s">
        <v>57</v>
      </c>
      <c r="B56" s="8">
        <f>SUM(B40,B41,B42,B43)</f>
        <v>17516</v>
      </c>
      <c r="C56" s="8">
        <f t="shared" ref="C56:D56" si="1">SUM(C40,C41,C42,C43)</f>
        <v>692</v>
      </c>
      <c r="D56" s="8">
        <f t="shared" si="1"/>
        <v>18208</v>
      </c>
    </row>
  </sheetData>
  <autoFilter ref="A1:D56" xr:uid="{00000000-0009-0000-0000-00000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2026-02-06T20:26:11Z</dcterms:created>
  <dcterms:modified xsi:type="dcterms:W3CDTF">2026-10-01T20:36:35Z</dcterms:modified>
</cp:coreProperties>
</file>