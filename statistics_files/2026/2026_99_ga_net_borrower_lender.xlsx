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George\Documents\github\next_statistics\statistics_files\2026\"/>
    </mc:Choice>
  </mc:AlternateContent>
  <xr:revisionPtr revIDLastSave="0" documentId="13_ncr:1_{994AB89E-E973-42ED-8E10-08152E70F312}" xr6:coauthVersionLast="47" xr6:coauthVersionMax="47" xr10:uidLastSave="{00000000-0000-0000-0000-000000000000}"/>
  <bookViews>
    <workbookView xWindow="28680" yWindow="-120" windowWidth="29040" windowHeight="15720" tabRatio="868" xr2:uid="{00000000-000D-0000-FFFF-FFFF00000000}"/>
  </bookViews>
  <sheets>
    <sheet name="January" sheetId="1" r:id="rId1"/>
    <sheet name="February" sheetId="2" r:id="rId2"/>
    <sheet name="March" sheetId="3" r:id="rId3"/>
    <sheet name="April" sheetId="4" r:id="rId4"/>
    <sheet name="May" sheetId="5" r:id="rId5"/>
    <sheet name="June" sheetId="6" r:id="rId6"/>
    <sheet name="July" sheetId="7" r:id="rId7"/>
    <sheet name="August" sheetId="8" r:id="rId8"/>
    <sheet name="September" sheetId="9" r:id="rId9"/>
    <sheet name="October" sheetId="10" r:id="rId10"/>
    <sheet name="November" sheetId="11" r:id="rId11"/>
    <sheet name="December" sheetId="12" r:id="rId12"/>
    <sheet name="Yearly total" sheetId="13" r:id="rId13"/>
  </sheets>
  <definedNames>
    <definedName name="_xlnm._FilterDatabase" localSheetId="3" hidden="1">April!$A$1:$G$54</definedName>
    <definedName name="_xlnm._FilterDatabase" localSheetId="7" hidden="1">August!$A$1:$G$54</definedName>
    <definedName name="_xlnm._FilterDatabase" localSheetId="11" hidden="1">December!$A$1:$G$54</definedName>
    <definedName name="_xlnm._FilterDatabase" localSheetId="1" hidden="1">February!$A$1:$G$54</definedName>
    <definedName name="_xlnm._FilterDatabase" localSheetId="0" hidden="1">January!$A$1:$G$54</definedName>
    <definedName name="_xlnm._FilterDatabase" localSheetId="6" hidden="1">July!$A$1:$G$54</definedName>
    <definedName name="_xlnm._FilterDatabase" localSheetId="5" hidden="1">June!$A$1:$G$54</definedName>
    <definedName name="_xlnm._FilterDatabase" localSheetId="2" hidden="1">March!$A$1:$G$54</definedName>
    <definedName name="_xlnm._FilterDatabase" localSheetId="4" hidden="1">May!$A$1:$G$54</definedName>
    <definedName name="_xlnm._FilterDatabase" localSheetId="10" hidden="1">November!$A$1:$G$54</definedName>
    <definedName name="_xlnm._FilterDatabase" localSheetId="9" hidden="1">October!$A$1:$G$54</definedName>
    <definedName name="_xlnm._FilterDatabase" localSheetId="8" hidden="1">September!$A$1:$G$54</definedName>
    <definedName name="_xlnm._FilterDatabase" localSheetId="12" hidden="1">'Yearly total'!$A$1:$G$54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4" i="13" l="1"/>
  <c r="F54" i="13" s="1"/>
  <c r="C54" i="13"/>
  <c r="B54" i="13"/>
  <c r="D53" i="13"/>
  <c r="F53" i="13" s="1"/>
  <c r="C53" i="13"/>
  <c r="B53" i="13"/>
  <c r="D52" i="13"/>
  <c r="E52" i="13" s="1"/>
  <c r="C52" i="13"/>
  <c r="B52" i="13"/>
  <c r="D51" i="13"/>
  <c r="F51" i="13" s="1"/>
  <c r="C51" i="13"/>
  <c r="B51" i="13"/>
  <c r="D50" i="13"/>
  <c r="F50" i="13" s="1"/>
  <c r="C50" i="13"/>
  <c r="B50" i="13"/>
  <c r="D49" i="13"/>
  <c r="F49" i="13" s="1"/>
  <c r="C49" i="13"/>
  <c r="B49" i="13"/>
  <c r="D48" i="13"/>
  <c r="E48" i="13" s="1"/>
  <c r="C48" i="13"/>
  <c r="B48" i="13"/>
  <c r="D47" i="13"/>
  <c r="E47" i="13" s="1"/>
  <c r="C47" i="13"/>
  <c r="B47" i="13"/>
  <c r="D46" i="13"/>
  <c r="F46" i="13" s="1"/>
  <c r="C46" i="13"/>
  <c r="B46" i="13"/>
  <c r="D45" i="13"/>
  <c r="F45" i="13" s="1"/>
  <c r="C45" i="13"/>
  <c r="B45" i="13"/>
  <c r="D44" i="13"/>
  <c r="E44" i="13" s="1"/>
  <c r="C44" i="13"/>
  <c r="B44" i="13"/>
  <c r="D43" i="13"/>
  <c r="F43" i="13" s="1"/>
  <c r="C43" i="13"/>
  <c r="B43" i="13"/>
  <c r="D42" i="13"/>
  <c r="F42" i="13" s="1"/>
  <c r="C42" i="13"/>
  <c r="B42" i="13"/>
  <c r="D41" i="13"/>
  <c r="E41" i="13" s="1"/>
  <c r="C41" i="13"/>
  <c r="B41" i="13"/>
  <c r="D40" i="13"/>
  <c r="F40" i="13" s="1"/>
  <c r="C40" i="13"/>
  <c r="B40" i="13"/>
  <c r="D39" i="13"/>
  <c r="F39" i="13" s="1"/>
  <c r="C39" i="13"/>
  <c r="B39" i="13"/>
  <c r="D38" i="13"/>
  <c r="E38" i="13" s="1"/>
  <c r="C38" i="13"/>
  <c r="B38" i="13"/>
  <c r="D37" i="13"/>
  <c r="E37" i="13" s="1"/>
  <c r="C37" i="13"/>
  <c r="B37" i="13"/>
  <c r="D36" i="13"/>
  <c r="E36" i="13" s="1"/>
  <c r="C36" i="13"/>
  <c r="B36" i="13"/>
  <c r="D35" i="13"/>
  <c r="E35" i="13" s="1"/>
  <c r="C35" i="13"/>
  <c r="B35" i="13"/>
  <c r="D34" i="13"/>
  <c r="F34" i="13" s="1"/>
  <c r="C34" i="13"/>
  <c r="B34" i="13"/>
  <c r="G34" i="13" s="1"/>
  <c r="D33" i="13"/>
  <c r="F33" i="13" s="1"/>
  <c r="C33" i="13"/>
  <c r="B33" i="13"/>
  <c r="D32" i="13"/>
  <c r="E32" i="13" s="1"/>
  <c r="C32" i="13"/>
  <c r="B32" i="13"/>
  <c r="D31" i="13"/>
  <c r="F31" i="13" s="1"/>
  <c r="C31" i="13"/>
  <c r="B31" i="13"/>
  <c r="D30" i="13"/>
  <c r="F30" i="13" s="1"/>
  <c r="C30" i="13"/>
  <c r="B30" i="13"/>
  <c r="G30" i="13" s="1"/>
  <c r="D29" i="13"/>
  <c r="E29" i="13" s="1"/>
  <c r="C29" i="13"/>
  <c r="B29" i="13"/>
  <c r="G29" i="13" s="1"/>
  <c r="D28" i="13"/>
  <c r="F28" i="13" s="1"/>
  <c r="C28" i="13"/>
  <c r="B28" i="13"/>
  <c r="D27" i="13"/>
  <c r="E27" i="13" s="1"/>
  <c r="C27" i="13"/>
  <c r="B27" i="13"/>
  <c r="D26" i="13"/>
  <c r="E26" i="13" s="1"/>
  <c r="C26" i="13"/>
  <c r="B26" i="13"/>
  <c r="D25" i="13"/>
  <c r="E25" i="13" s="1"/>
  <c r="C25" i="13"/>
  <c r="B25" i="13"/>
  <c r="D24" i="13"/>
  <c r="E24" i="13" s="1"/>
  <c r="C24" i="13"/>
  <c r="B24" i="13"/>
  <c r="D23" i="13"/>
  <c r="F23" i="13" s="1"/>
  <c r="C23" i="13"/>
  <c r="B23" i="13"/>
  <c r="D22" i="13"/>
  <c r="F22" i="13" s="1"/>
  <c r="C22" i="13"/>
  <c r="B22" i="13"/>
  <c r="D21" i="13"/>
  <c r="F21" i="13" s="1"/>
  <c r="C21" i="13"/>
  <c r="B21" i="13"/>
  <c r="D20" i="13"/>
  <c r="E20" i="13" s="1"/>
  <c r="C20" i="13"/>
  <c r="B20" i="13"/>
  <c r="D19" i="13"/>
  <c r="F19" i="13" s="1"/>
  <c r="C19" i="13"/>
  <c r="B19" i="13"/>
  <c r="G19" i="13" s="1"/>
  <c r="D18" i="13"/>
  <c r="F18" i="13" s="1"/>
  <c r="C18" i="13"/>
  <c r="B18" i="13"/>
  <c r="D17" i="13"/>
  <c r="F17" i="13" s="1"/>
  <c r="C17" i="13"/>
  <c r="B17" i="13"/>
  <c r="D16" i="13"/>
  <c r="F16" i="13" s="1"/>
  <c r="C16" i="13"/>
  <c r="B16" i="13"/>
  <c r="D15" i="13"/>
  <c r="F15" i="13" s="1"/>
  <c r="C15" i="13"/>
  <c r="B15" i="13"/>
  <c r="D14" i="13"/>
  <c r="E14" i="13" s="1"/>
  <c r="C14" i="13"/>
  <c r="B14" i="13"/>
  <c r="D13" i="13"/>
  <c r="E13" i="13" s="1"/>
  <c r="C13" i="13"/>
  <c r="B13" i="13"/>
  <c r="D12" i="13"/>
  <c r="E12" i="13" s="1"/>
  <c r="C12" i="13"/>
  <c r="B12" i="13"/>
  <c r="D11" i="13"/>
  <c r="F11" i="13" s="1"/>
  <c r="C11" i="13"/>
  <c r="B11" i="13"/>
  <c r="D10" i="13"/>
  <c r="E10" i="13" s="1"/>
  <c r="C10" i="13"/>
  <c r="B10" i="13"/>
  <c r="D9" i="13"/>
  <c r="E9" i="13" s="1"/>
  <c r="C9" i="13"/>
  <c r="B9" i="13"/>
  <c r="D8" i="13"/>
  <c r="E8" i="13" s="1"/>
  <c r="C8" i="13"/>
  <c r="B8" i="13"/>
  <c r="D7" i="13"/>
  <c r="E7" i="13" s="1"/>
  <c r="C7" i="13"/>
  <c r="B7" i="13"/>
  <c r="D6" i="13"/>
  <c r="F6" i="13" s="1"/>
  <c r="C6" i="13"/>
  <c r="B6" i="13"/>
  <c r="G6" i="13" s="1"/>
  <c r="D5" i="13"/>
  <c r="F5" i="13" s="1"/>
  <c r="C5" i="13"/>
  <c r="B5" i="13"/>
  <c r="D4" i="13"/>
  <c r="E4" i="13" s="1"/>
  <c r="C4" i="13"/>
  <c r="B4" i="13"/>
  <c r="G4" i="13" s="1"/>
  <c r="D3" i="13"/>
  <c r="E3" i="13" s="1"/>
  <c r="C3" i="13"/>
  <c r="B3" i="13"/>
  <c r="D2" i="13"/>
  <c r="E2" i="13" s="1"/>
  <c r="C2" i="13"/>
  <c r="B2" i="13"/>
  <c r="G2" i="13" s="1"/>
  <c r="G13" i="13" l="1"/>
  <c r="G10" i="13"/>
  <c r="G12" i="13"/>
  <c r="G3" i="13"/>
  <c r="G33" i="13"/>
  <c r="G53" i="13"/>
  <c r="G40" i="13"/>
  <c r="G44" i="13"/>
  <c r="E40" i="13"/>
  <c r="G37" i="13"/>
  <c r="E53" i="13"/>
  <c r="G26" i="13"/>
  <c r="E39" i="13"/>
  <c r="G38" i="13"/>
  <c r="G20" i="13"/>
  <c r="G51" i="13"/>
  <c r="G14" i="13"/>
  <c r="G42" i="13"/>
  <c r="G52" i="13"/>
  <c r="G54" i="13"/>
  <c r="G8" i="13"/>
  <c r="G28" i="13"/>
  <c r="G17" i="13"/>
  <c r="G23" i="13"/>
  <c r="G39" i="13"/>
  <c r="E11" i="13"/>
  <c r="G24" i="13"/>
  <c r="E54" i="13"/>
  <c r="G9" i="13"/>
  <c r="G25" i="13"/>
  <c r="G41" i="13"/>
  <c r="F12" i="13"/>
  <c r="F26" i="13"/>
  <c r="G31" i="13"/>
  <c r="G36" i="13"/>
  <c r="F35" i="13"/>
  <c r="G5" i="13"/>
  <c r="G16" i="13"/>
  <c r="G32" i="13"/>
  <c r="G48" i="13"/>
  <c r="G11" i="13"/>
  <c r="G27" i="13"/>
  <c r="E23" i="13"/>
  <c r="F29" i="13"/>
  <c r="E28" i="13"/>
  <c r="F32" i="13"/>
  <c r="G22" i="13"/>
  <c r="G50" i="13"/>
  <c r="E30" i="13"/>
  <c r="F38" i="13"/>
  <c r="E31" i="13"/>
  <c r="F41" i="13"/>
  <c r="E49" i="13"/>
  <c r="G15" i="13"/>
  <c r="G43" i="13"/>
  <c r="E50" i="13"/>
  <c r="E51" i="13"/>
  <c r="G7" i="13"/>
  <c r="G35" i="13"/>
  <c r="F2" i="13"/>
  <c r="F3" i="13"/>
  <c r="G45" i="13"/>
  <c r="F4" i="13"/>
  <c r="F7" i="13"/>
  <c r="F10" i="13"/>
  <c r="G18" i="13"/>
  <c r="G46" i="13"/>
  <c r="F13" i="13"/>
  <c r="G47" i="13"/>
  <c r="F25" i="13"/>
  <c r="E21" i="13"/>
  <c r="F27" i="13"/>
  <c r="E22" i="13"/>
  <c r="G21" i="13"/>
  <c r="G49" i="13"/>
  <c r="F24" i="13"/>
  <c r="F52" i="13"/>
  <c r="E5" i="13"/>
  <c r="E33" i="13"/>
  <c r="F8" i="13"/>
  <c r="F36" i="13"/>
  <c r="E6" i="13"/>
  <c r="E34" i="13"/>
  <c r="F9" i="13"/>
  <c r="F37" i="13"/>
  <c r="F44" i="13"/>
  <c r="E42" i="13"/>
  <c r="E43" i="13"/>
  <c r="E16" i="13"/>
  <c r="E17" i="13"/>
  <c r="E45" i="13"/>
  <c r="F20" i="13"/>
  <c r="F48" i="13"/>
  <c r="E15" i="13"/>
  <c r="E18" i="13"/>
  <c r="E46" i="13"/>
  <c r="F14" i="13"/>
  <c r="F47" i="13"/>
  <c r="E19" i="13"/>
</calcChain>
</file>

<file path=xl/sharedStrings.xml><?xml version="1.0" encoding="utf-8"?>
<sst xmlns="http://schemas.openxmlformats.org/spreadsheetml/2006/main" count="1595" uniqueCount="236">
  <si>
    <t>Library</t>
  </si>
  <si>
    <t>Other Next library materials checked out at our library</t>
  </si>
  <si>
    <t>Our materials checked out at other Next libraries</t>
  </si>
  <si>
    <t>NET</t>
  </si>
  <si>
    <t>Net borrower</t>
  </si>
  <si>
    <t>Net lender</t>
  </si>
  <si>
    <t>Borrowed to lent ratio</t>
  </si>
  <si>
    <t>Atchison Public Library</t>
  </si>
  <si>
    <t>We borrowerd more than we lent</t>
  </si>
  <si>
    <t>1.11 : 1</t>
  </si>
  <si>
    <t>Baldwin City Public Library</t>
  </si>
  <si>
    <t>1.60 : 1</t>
  </si>
  <si>
    <t>Basehor Community Library</t>
  </si>
  <si>
    <t>1.01 : 1</t>
  </si>
  <si>
    <t>Bern Community Library</t>
  </si>
  <si>
    <t>We lent more than we borrowed</t>
  </si>
  <si>
    <t>0.20 : 1</t>
  </si>
  <si>
    <t>Bonner Springs City Library</t>
  </si>
  <si>
    <t>1.03 : 1</t>
  </si>
  <si>
    <t>Burlingame Community Library</t>
  </si>
  <si>
    <t>1.21 : 1</t>
  </si>
  <si>
    <t>Carbondale City Library</t>
  </si>
  <si>
    <t>0.65 : 1</t>
  </si>
  <si>
    <t>Centralia Community Library</t>
  </si>
  <si>
    <t>Corning City Library</t>
  </si>
  <si>
    <t>0.00 : 1</t>
  </si>
  <si>
    <t>Digital Content</t>
  </si>
  <si>
    <t>Doniphan County Library - Elwood</t>
  </si>
  <si>
    <t>0.32 : 1</t>
  </si>
  <si>
    <t>Doniphan County Library - Highland</t>
  </si>
  <si>
    <t>0.78 : 1</t>
  </si>
  <si>
    <t>Doniphan County Library - Troy</t>
  </si>
  <si>
    <t>0.62 : 1</t>
  </si>
  <si>
    <t>Doniphan County Library - Wathena</t>
  </si>
  <si>
    <t>0.34 : 1</t>
  </si>
  <si>
    <t>Effingham Community Library</t>
  </si>
  <si>
    <t>0.31 : 1</t>
  </si>
  <si>
    <t>Eudora Community Library</t>
  </si>
  <si>
    <t>Everest, Barnes Reading Room</t>
  </si>
  <si>
    <t>0.95 : 1</t>
  </si>
  <si>
    <t>Hiawatha, Morrill Public Library</t>
  </si>
  <si>
    <t>1.61 : 1</t>
  </si>
  <si>
    <t>Highland Community College</t>
  </si>
  <si>
    <t>0.05 : 1</t>
  </si>
  <si>
    <t>Holton, Beck-Bookman Library</t>
  </si>
  <si>
    <t>1.06 : 1</t>
  </si>
  <si>
    <t>Horton Public Library</t>
  </si>
  <si>
    <t>0.40 : 1</t>
  </si>
  <si>
    <t>Lansing Community Library</t>
  </si>
  <si>
    <t>1.05 : 1</t>
  </si>
  <si>
    <t>Leavenworth Public Library</t>
  </si>
  <si>
    <t>1.55 : 1</t>
  </si>
  <si>
    <t>Linwood Community Library</t>
  </si>
  <si>
    <t>0.48 : 1</t>
  </si>
  <si>
    <t>Louisburg Library</t>
  </si>
  <si>
    <t>Lyndon Carnegie Library</t>
  </si>
  <si>
    <t>1.58 : 1</t>
  </si>
  <si>
    <t>McLouth Public Library</t>
  </si>
  <si>
    <t>1.10 : 1</t>
  </si>
  <si>
    <t>Meriden-Ozawkie Public Library</t>
  </si>
  <si>
    <t>1.62 : 1</t>
  </si>
  <si>
    <t>Northeast Kansas Library System</t>
  </si>
  <si>
    <t>0.83 : 1</t>
  </si>
  <si>
    <t>Nortonville Public Library</t>
  </si>
  <si>
    <t>0.52 : 1</t>
  </si>
  <si>
    <t>Osage City Library</t>
  </si>
  <si>
    <t>1.00 : 1</t>
  </si>
  <si>
    <t>Osawatomie Public Library</t>
  </si>
  <si>
    <t>0.92 : 1</t>
  </si>
  <si>
    <t>Oskaloosa Public Library</t>
  </si>
  <si>
    <t>2.00 : 1</t>
  </si>
  <si>
    <t>Ottawa Library</t>
  </si>
  <si>
    <t>0.56 : 1</t>
  </si>
  <si>
    <t>Overbrook Public Library</t>
  </si>
  <si>
    <t>0.28 : 1</t>
  </si>
  <si>
    <t>Paola Free Library</t>
  </si>
  <si>
    <t>1.07 : 1</t>
  </si>
  <si>
    <t>Perry-Lecompton Community Library</t>
  </si>
  <si>
    <t>0.09 : 1</t>
  </si>
  <si>
    <t>Prairie Hills Schools - Axtell Public School</t>
  </si>
  <si>
    <t>0.23 : 1</t>
  </si>
  <si>
    <t>Prairie Hills Schools - Sabetha Elementary School</t>
  </si>
  <si>
    <t>0.91 : 1</t>
  </si>
  <si>
    <t>Prairie Hills Schools - Sabetha High School</t>
  </si>
  <si>
    <t>1.17 : 1</t>
  </si>
  <si>
    <t>Prairie Hills Schools - Sabetha Middle School</t>
  </si>
  <si>
    <t>0.63 : 1</t>
  </si>
  <si>
    <t>Pomona Community Library</t>
  </si>
  <si>
    <t>2.29 : 1</t>
  </si>
  <si>
    <t>Richmond Public Library</t>
  </si>
  <si>
    <t>0.41 : 1</t>
  </si>
  <si>
    <t>Rossville Community Library</t>
  </si>
  <si>
    <t>Sabetha, Mary Cotton Library</t>
  </si>
  <si>
    <t>1.38 : 1</t>
  </si>
  <si>
    <t>Seneca Free Library</t>
  </si>
  <si>
    <t>Silver Lake Library</t>
  </si>
  <si>
    <t>1.28 : 1</t>
  </si>
  <si>
    <t>Tonganoxie Public Library</t>
  </si>
  <si>
    <t>1.64 : 1</t>
  </si>
  <si>
    <t>Valley Falls, Delaware Township Library</t>
  </si>
  <si>
    <t>0.81 : 1</t>
  </si>
  <si>
    <t>Wellsville City Library</t>
  </si>
  <si>
    <t>1.96 : 1</t>
  </si>
  <si>
    <t>Wetmore Public Library</t>
  </si>
  <si>
    <t>0.27 : 1</t>
  </si>
  <si>
    <t>Williamsburg Community Library</t>
  </si>
  <si>
    <t>0.10 : 1</t>
  </si>
  <si>
    <t>Winchester Public Library</t>
  </si>
  <si>
    <t>1.45 : 1</t>
  </si>
  <si>
    <t>1.20 : 1</t>
  </si>
  <si>
    <t>1.87 : 1</t>
  </si>
  <si>
    <t>1.13 : 1</t>
  </si>
  <si>
    <t>0.16 : 1</t>
  </si>
  <si>
    <t>0.84 : 1</t>
  </si>
  <si>
    <t>1.15 : 1</t>
  </si>
  <si>
    <t>0.59 : 1</t>
  </si>
  <si>
    <t>1.37 : 1</t>
  </si>
  <si>
    <t>0.45 : 1</t>
  </si>
  <si>
    <t>1.73 : 1</t>
  </si>
  <si>
    <t>1.41 : 1</t>
  </si>
  <si>
    <t>2.13 : 1</t>
  </si>
  <si>
    <t>0.07 : 1</t>
  </si>
  <si>
    <t>1.16 : 1</t>
  </si>
  <si>
    <t>0.47 : 1</t>
  </si>
  <si>
    <t>1.08 : 1</t>
  </si>
  <si>
    <t>0.57 : 1</t>
  </si>
  <si>
    <t>0.88 : 1</t>
  </si>
  <si>
    <t>1.80 : 1</t>
  </si>
  <si>
    <t>0.36 : 1</t>
  </si>
  <si>
    <t>0.49 : 1</t>
  </si>
  <si>
    <t>1.19 : 1</t>
  </si>
  <si>
    <t>2.15 : 1</t>
  </si>
  <si>
    <t>0.64 : 1</t>
  </si>
  <si>
    <t>0.38 : 1</t>
  </si>
  <si>
    <t>0.15 : 1</t>
  </si>
  <si>
    <t>2.14 : 1</t>
  </si>
  <si>
    <t>0.39 : 1</t>
  </si>
  <si>
    <t>0.76 : 1</t>
  </si>
  <si>
    <t>1.02 : 1</t>
  </si>
  <si>
    <t>1.72 : 1</t>
  </si>
  <si>
    <t>1.53 : 1</t>
  </si>
  <si>
    <t>0.53 : 1</t>
  </si>
  <si>
    <t>1.35 : 1</t>
  </si>
  <si>
    <t>0.12 : 1</t>
  </si>
  <si>
    <t>1.84 : 1</t>
  </si>
  <si>
    <t>1.26 : 1</t>
  </si>
  <si>
    <t>0.11 : 1</t>
  </si>
  <si>
    <t>0.87 : 1</t>
  </si>
  <si>
    <t>0.96 : 1</t>
  </si>
  <si>
    <t>0.14 : 1</t>
  </si>
  <si>
    <t>1.67 : 1</t>
  </si>
  <si>
    <t>1.32 : 1</t>
  </si>
  <si>
    <t>0.33 : 1</t>
  </si>
  <si>
    <t>0.93 : 1</t>
  </si>
  <si>
    <t>1.63 : 1</t>
  </si>
  <si>
    <t>0.51 : 1</t>
  </si>
  <si>
    <t>0.70 : 1</t>
  </si>
  <si>
    <t>1.22 : 1</t>
  </si>
  <si>
    <t>0.66 : 1</t>
  </si>
  <si>
    <t>1.47 : 1</t>
  </si>
  <si>
    <t>0.30 : 1</t>
  </si>
  <si>
    <t>0.26 : 1</t>
  </si>
  <si>
    <t>1.04 : 1</t>
  </si>
  <si>
    <t>0.24 : 1</t>
  </si>
  <si>
    <t>0.79 : 1</t>
  </si>
  <si>
    <t>0.50 : 1</t>
  </si>
  <si>
    <t>1.99 : 1</t>
  </si>
  <si>
    <t>0.61 : 1</t>
  </si>
  <si>
    <t>0.08 : 1</t>
  </si>
  <si>
    <t>2.16 : 1</t>
  </si>
  <si>
    <t>1.18 : 1</t>
  </si>
  <si>
    <t>0.19 : 1</t>
  </si>
  <si>
    <t>0.86 : 1</t>
  </si>
  <si>
    <t>1.40 : 1</t>
  </si>
  <si>
    <t>1.23 : 1</t>
  </si>
  <si>
    <t>1.46 : 1</t>
  </si>
  <si>
    <t>0.06 : 1</t>
  </si>
  <si>
    <t>0.44 : 1</t>
  </si>
  <si>
    <t>0.98 : 1</t>
  </si>
  <si>
    <t>1.36 : 1</t>
  </si>
  <si>
    <t>1.78 : 1</t>
  </si>
  <si>
    <t>3.89 : 1</t>
  </si>
  <si>
    <t>0.80 : 1</t>
  </si>
  <si>
    <t>1.12 : 1</t>
  </si>
  <si>
    <t>1.57 : 1</t>
  </si>
  <si>
    <t>0.37 : 1</t>
  </si>
  <si>
    <t>2.03 : 1</t>
  </si>
  <si>
    <t>0.25 : 1</t>
  </si>
  <si>
    <t>0.77 : 1</t>
  </si>
  <si>
    <t>1.09 : 1</t>
  </si>
  <si>
    <t>1.68 : 1</t>
  </si>
  <si>
    <t>0.85 : 1</t>
  </si>
  <si>
    <t>2.65 : 1</t>
  </si>
  <si>
    <t>1.29 : 1</t>
  </si>
  <si>
    <t>1.25 : 1</t>
  </si>
  <si>
    <t>0.18 : 1</t>
  </si>
  <si>
    <t>2.57 : 1</t>
  </si>
  <si>
    <t>0.03 : 1</t>
  </si>
  <si>
    <t>0.46 : 1</t>
  </si>
  <si>
    <t>1.56 : 1</t>
  </si>
  <si>
    <t>2.42 : 1</t>
  </si>
  <si>
    <t>0.68 : 1</t>
  </si>
  <si>
    <t>0.99 : 1</t>
  </si>
  <si>
    <t>1.14 : 1</t>
  </si>
  <si>
    <t>2.07 : 1</t>
  </si>
  <si>
    <t>1.81 : 1</t>
  </si>
  <si>
    <t>0.35 : 1</t>
  </si>
  <si>
    <t>1.44 : 1</t>
  </si>
  <si>
    <t>2.02 : 1</t>
  </si>
  <si>
    <t>1.75 : 1</t>
  </si>
  <si>
    <t>1.74 : 1</t>
  </si>
  <si>
    <t>0.17 : 1</t>
  </si>
  <si>
    <t>0.89 : 1</t>
  </si>
  <si>
    <t>0.43 : 1</t>
  </si>
  <si>
    <t>1.24 : 1</t>
  </si>
  <si>
    <t>1.97 : 1</t>
  </si>
  <si>
    <t>0.67 : 1</t>
  </si>
  <si>
    <t>1.59 : 1</t>
  </si>
  <si>
    <t>1.34 : 1</t>
  </si>
  <si>
    <t>0.90 : 1</t>
  </si>
  <si>
    <t>1.79 : 1</t>
  </si>
  <si>
    <t>2.23 : 1</t>
  </si>
  <si>
    <t>0.58 : 1</t>
  </si>
  <si>
    <t>0.54 : 1</t>
  </si>
  <si>
    <t>2.18 : 1</t>
  </si>
  <si>
    <t>3.26 : 1</t>
  </si>
  <si>
    <t>0.97 : 1</t>
  </si>
  <si>
    <t>1.50 : 1</t>
  </si>
  <si>
    <t>2.58 : 1</t>
  </si>
  <si>
    <t>0.13 : 1</t>
  </si>
  <si>
    <t>1.54 : 1</t>
  </si>
  <si>
    <t>0.82 : 1</t>
  </si>
  <si>
    <t>1.89 : 1</t>
  </si>
  <si>
    <t>1.39 : 1</t>
  </si>
  <si>
    <t>0.75 : 1</t>
  </si>
  <si>
    <t>2.49 :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</si>
</sst>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3" borderId="13" xfId="0" applyFill="1" applyBorder="1"/>
    <xf numFmtId="0" fontId="0" fillId="33" borderId="14" xfId="0" applyFill="1" applyBorder="1"/>
    <xf numFmtId="0" fontId="0" fillId="33" borderId="14" xfId="0" applyFill="1" applyBorder="1" applyAlignment="1">
      <alignment horizontal="center" vertical="center" wrapText="1"/>
    </xf>
    <xf numFmtId="0" fontId="0" fillId="33" borderId="15" xfId="0" applyFill="1" applyBorder="1" applyAlignment="1">
      <alignment horizontal="center"/>
    </xf>
    <xf numFmtId="0" fontId="0" fillId="0" borderId="13" xfId="0" applyBorder="1"/>
    <xf numFmtId="0" fontId="0" fillId="0" borderId="14" xfId="0" applyBorder="1"/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0" fontId="0" fillId="34" borderId="13" xfId="0" applyFill="1" applyBorder="1"/>
    <xf numFmtId="0" fontId="0" fillId="34" borderId="14" xfId="0" applyFill="1" applyBorder="1"/>
    <xf numFmtId="0" fontId="0" fillId="34" borderId="14" xfId="0" applyFill="1" applyBorder="1" applyAlignment="1">
      <alignment horizontal="center" vertical="center" wrapText="1"/>
    </xf>
    <xf numFmtId="0" fontId="0" fillId="34" borderId="15" xfId="0" applyFill="1" applyBorder="1" applyAlignment="1">
      <alignment horizontal="center"/>
    </xf>
    <xf numFmtId="0" fontId="0" fillId="35" borderId="13" xfId="0" applyFill="1" applyBorder="1"/>
    <xf numFmtId="0" fontId="0" fillId="35" borderId="14" xfId="0" applyFill="1" applyBorder="1"/>
    <xf numFmtId="0" fontId="0" fillId="35" borderId="14" xfId="0" applyFill="1" applyBorder="1" applyAlignment="1">
      <alignment horizontal="center" vertical="center" wrapText="1"/>
    </xf>
    <xf numFmtId="0" fontId="0" fillId="35" borderId="15" xfId="0" applyFill="1" applyBorder="1" applyAlignment="1">
      <alignment horizontal="center"/>
    </xf>
    <xf numFmtId="0" fontId="0" fillId="36" borderId="13" xfId="0" applyFill="1" applyBorder="1"/>
    <xf numFmtId="0" fontId="0" fillId="36" borderId="14" xfId="0" applyFill="1" applyBorder="1"/>
    <xf numFmtId="0" fontId="0" fillId="36" borderId="14" xfId="0" applyFill="1" applyBorder="1" applyAlignment="1">
      <alignment horizontal="center" vertical="center" wrapText="1"/>
    </xf>
    <xf numFmtId="0" fontId="0" fillId="36" borderId="15" xfId="0" applyFill="1" applyBorder="1" applyAlignment="1">
      <alignment horizontal="center"/>
    </xf>
    <xf numFmtId="0" fontId="0" fillId="37" borderId="13" xfId="0" applyFill="1" applyBorder="1"/>
    <xf numFmtId="0" fontId="0" fillId="37" borderId="14" xfId="0" applyFill="1" applyBorder="1"/>
    <xf numFmtId="0" fontId="0" fillId="37" borderId="14" xfId="0" applyFill="1" applyBorder="1" applyAlignment="1">
      <alignment horizontal="center" vertical="center" wrapText="1"/>
    </xf>
    <xf numFmtId="0" fontId="0" fillId="37" borderId="15" xfId="0" applyFill="1" applyBorder="1" applyAlignment="1">
      <alignment horizontal="center"/>
    </xf>
    <xf numFmtId="0" fontId="0" fillId="33" borderId="16" xfId="0" applyFill="1" applyBorder="1"/>
    <xf numFmtId="0" fontId="0" fillId="33" borderId="17" xfId="0" applyFill="1" applyBorder="1"/>
    <xf numFmtId="0" fontId="0" fillId="33" borderId="17" xfId="0" applyFill="1" applyBorder="1" applyAlignment="1">
      <alignment horizontal="center" vertical="center" wrapText="1"/>
    </xf>
    <xf numFmtId="0" fontId="0" fillId="33" borderId="18" xfId="0" applyFill="1" applyBorder="1" applyAlignment="1">
      <alignment horizontal="center"/>
    </xf>
    <xf numFmtId="0" fontId="0" fillId="0" borderId="0" xfId="0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9"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color auto="1"/>
      </font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54"/>
  <sheetViews>
    <sheetView tabSelected="1" zoomScale="85" zoomScaleNormal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9.140625" defaultRowHeight="15" x14ac:dyDescent="0.25"/>
  <cols>
    <col min="1" max="1" width="45.7109375" customWidth="1"/>
    <col min="2" max="3" width="30.7109375" customWidth="1"/>
    <col min="4" max="4" width="20.7109375" customWidth="1"/>
    <col min="5" max="6" width="25.7109375" style="34" customWidth="1"/>
    <col min="7" max="7" width="28.7109375" customWidth="1"/>
  </cols>
  <sheetData>
    <row r="1" spans="1:7" s="5" customFormat="1" ht="30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4" t="s">
        <v>6</v>
      </c>
    </row>
    <row r="2" spans="1:7" ht="30" customHeight="1" x14ac:dyDescent="0.25">
      <c r="A2" s="6" t="s">
        <v>7</v>
      </c>
      <c r="B2" s="7">
        <v>1441</v>
      </c>
      <c r="C2" s="7">
        <v>1299</v>
      </c>
      <c r="D2" s="7">
        <v>142</v>
      </c>
      <c r="E2" s="8" t="s">
        <v>8</v>
      </c>
      <c r="F2" s="8"/>
      <c r="G2" s="9" t="s">
        <v>9</v>
      </c>
    </row>
    <row r="3" spans="1:7" ht="30" customHeight="1" x14ac:dyDescent="0.25">
      <c r="A3" s="10" t="s">
        <v>10</v>
      </c>
      <c r="B3" s="11">
        <v>671</v>
      </c>
      <c r="C3" s="11">
        <v>419</v>
      </c>
      <c r="D3" s="11">
        <v>252</v>
      </c>
      <c r="E3" s="12" t="s">
        <v>8</v>
      </c>
      <c r="F3" s="12"/>
      <c r="G3" s="13" t="s">
        <v>11</v>
      </c>
    </row>
    <row r="4" spans="1:7" ht="30" customHeight="1" x14ac:dyDescent="0.25">
      <c r="A4" s="6" t="s">
        <v>12</v>
      </c>
      <c r="B4" s="7">
        <v>1369</v>
      </c>
      <c r="C4" s="7">
        <v>1352</v>
      </c>
      <c r="D4" s="7">
        <v>17</v>
      </c>
      <c r="E4" s="8" t="s">
        <v>8</v>
      </c>
      <c r="F4" s="8"/>
      <c r="G4" s="9" t="s">
        <v>13</v>
      </c>
    </row>
    <row r="5" spans="1:7" ht="30" customHeight="1" x14ac:dyDescent="0.25">
      <c r="A5" s="10" t="s">
        <v>14</v>
      </c>
      <c r="B5" s="11">
        <v>28</v>
      </c>
      <c r="C5" s="11">
        <v>143</v>
      </c>
      <c r="D5" s="11">
        <v>-115</v>
      </c>
      <c r="E5" s="12"/>
      <c r="F5" s="12" t="s">
        <v>15</v>
      </c>
      <c r="G5" s="13" t="s">
        <v>16</v>
      </c>
    </row>
    <row r="6" spans="1:7" ht="30" customHeight="1" x14ac:dyDescent="0.25">
      <c r="A6" s="6" t="s">
        <v>17</v>
      </c>
      <c r="B6" s="7">
        <v>1162</v>
      </c>
      <c r="C6" s="7">
        <v>1131</v>
      </c>
      <c r="D6" s="7">
        <v>31</v>
      </c>
      <c r="E6" s="8" t="s">
        <v>8</v>
      </c>
      <c r="F6" s="8"/>
      <c r="G6" s="9" t="s">
        <v>18</v>
      </c>
    </row>
    <row r="7" spans="1:7" ht="30" customHeight="1" x14ac:dyDescent="0.25">
      <c r="A7" s="10" t="s">
        <v>19</v>
      </c>
      <c r="B7" s="11">
        <v>217</v>
      </c>
      <c r="C7" s="11">
        <v>180</v>
      </c>
      <c r="D7" s="11">
        <v>37</v>
      </c>
      <c r="E7" s="12" t="s">
        <v>8</v>
      </c>
      <c r="F7" s="12"/>
      <c r="G7" s="13" t="s">
        <v>20</v>
      </c>
    </row>
    <row r="8" spans="1:7" ht="30" customHeight="1" x14ac:dyDescent="0.25">
      <c r="A8" s="6" t="s">
        <v>21</v>
      </c>
      <c r="B8" s="7">
        <v>111</v>
      </c>
      <c r="C8" s="7">
        <v>171</v>
      </c>
      <c r="D8" s="7">
        <v>-60</v>
      </c>
      <c r="E8" s="8"/>
      <c r="F8" s="8" t="s">
        <v>15</v>
      </c>
      <c r="G8" s="9" t="s">
        <v>22</v>
      </c>
    </row>
    <row r="9" spans="1:7" ht="30" customHeight="1" x14ac:dyDescent="0.25">
      <c r="A9" s="10" t="s">
        <v>23</v>
      </c>
      <c r="B9" s="11">
        <v>73</v>
      </c>
      <c r="C9" s="11">
        <v>66</v>
      </c>
      <c r="D9" s="11">
        <v>7</v>
      </c>
      <c r="E9" s="12" t="s">
        <v>8</v>
      </c>
      <c r="F9" s="12"/>
      <c r="G9" s="13" t="s">
        <v>9</v>
      </c>
    </row>
    <row r="10" spans="1:7" ht="30" customHeight="1" x14ac:dyDescent="0.25">
      <c r="A10" s="6" t="s">
        <v>24</v>
      </c>
      <c r="B10" s="7">
        <v>0</v>
      </c>
      <c r="C10" s="7">
        <v>19</v>
      </c>
      <c r="D10" s="7">
        <v>-19</v>
      </c>
      <c r="E10" s="8"/>
      <c r="F10" s="8" t="s">
        <v>15</v>
      </c>
      <c r="G10" s="9" t="s">
        <v>25</v>
      </c>
    </row>
    <row r="11" spans="1:7" ht="30" customHeight="1" x14ac:dyDescent="0.25">
      <c r="A11" s="10" t="s">
        <v>26</v>
      </c>
      <c r="B11" s="11">
        <v>0</v>
      </c>
      <c r="C11" s="11">
        <v>0</v>
      </c>
      <c r="D11" s="11">
        <v>0</v>
      </c>
      <c r="E11" s="12"/>
      <c r="F11" s="12"/>
      <c r="G11" s="13"/>
    </row>
    <row r="12" spans="1:7" ht="30" customHeight="1" x14ac:dyDescent="0.25">
      <c r="A12" s="14" t="s">
        <v>27</v>
      </c>
      <c r="B12" s="15">
        <v>7</v>
      </c>
      <c r="C12" s="15">
        <v>22</v>
      </c>
      <c r="D12" s="15">
        <v>-15</v>
      </c>
      <c r="E12" s="16"/>
      <c r="F12" s="16" t="s">
        <v>15</v>
      </c>
      <c r="G12" s="17" t="s">
        <v>28</v>
      </c>
    </row>
    <row r="13" spans="1:7" ht="30" customHeight="1" x14ac:dyDescent="0.25">
      <c r="A13" s="18" t="s">
        <v>29</v>
      </c>
      <c r="B13" s="19">
        <v>42</v>
      </c>
      <c r="C13" s="19">
        <v>54</v>
      </c>
      <c r="D13" s="19">
        <v>-12</v>
      </c>
      <c r="E13" s="20"/>
      <c r="F13" s="20" t="s">
        <v>15</v>
      </c>
      <c r="G13" s="21" t="s">
        <v>30</v>
      </c>
    </row>
    <row r="14" spans="1:7" ht="30" customHeight="1" x14ac:dyDescent="0.25">
      <c r="A14" s="14" t="s">
        <v>31</v>
      </c>
      <c r="B14" s="15">
        <v>168</v>
      </c>
      <c r="C14" s="15">
        <v>270</v>
      </c>
      <c r="D14" s="15">
        <v>-102</v>
      </c>
      <c r="E14" s="16"/>
      <c r="F14" s="16" t="s">
        <v>15</v>
      </c>
      <c r="G14" s="17" t="s">
        <v>32</v>
      </c>
    </row>
    <row r="15" spans="1:7" ht="30" customHeight="1" x14ac:dyDescent="0.25">
      <c r="A15" s="18" t="s">
        <v>33</v>
      </c>
      <c r="B15" s="19">
        <v>55</v>
      </c>
      <c r="C15" s="19">
        <v>160</v>
      </c>
      <c r="D15" s="19">
        <v>-105</v>
      </c>
      <c r="E15" s="20"/>
      <c r="F15" s="20" t="s">
        <v>15</v>
      </c>
      <c r="G15" s="21" t="s">
        <v>34</v>
      </c>
    </row>
    <row r="16" spans="1:7" ht="30" customHeight="1" x14ac:dyDescent="0.25">
      <c r="A16" s="6" t="s">
        <v>35</v>
      </c>
      <c r="B16" s="7">
        <v>74</v>
      </c>
      <c r="C16" s="7">
        <v>237</v>
      </c>
      <c r="D16" s="7">
        <v>-163</v>
      </c>
      <c r="E16" s="8"/>
      <c r="F16" s="8" t="s">
        <v>15</v>
      </c>
      <c r="G16" s="9" t="s">
        <v>36</v>
      </c>
    </row>
    <row r="17" spans="1:7" ht="30" customHeight="1" x14ac:dyDescent="0.25">
      <c r="A17" s="10" t="s">
        <v>37</v>
      </c>
      <c r="B17" s="11">
        <v>694</v>
      </c>
      <c r="C17" s="11">
        <v>435</v>
      </c>
      <c r="D17" s="11">
        <v>259</v>
      </c>
      <c r="E17" s="12" t="s">
        <v>8</v>
      </c>
      <c r="F17" s="12"/>
      <c r="G17" s="13" t="s">
        <v>11</v>
      </c>
    </row>
    <row r="18" spans="1:7" ht="30" customHeight="1" x14ac:dyDescent="0.25">
      <c r="A18" s="6" t="s">
        <v>38</v>
      </c>
      <c r="B18" s="7">
        <v>89</v>
      </c>
      <c r="C18" s="7">
        <v>94</v>
      </c>
      <c r="D18" s="7">
        <v>-5</v>
      </c>
      <c r="E18" s="8"/>
      <c r="F18" s="8" t="s">
        <v>15</v>
      </c>
      <c r="G18" s="9" t="s">
        <v>39</v>
      </c>
    </row>
    <row r="19" spans="1:7" ht="30" customHeight="1" x14ac:dyDescent="0.25">
      <c r="A19" s="10" t="s">
        <v>40</v>
      </c>
      <c r="B19" s="11">
        <v>485</v>
      </c>
      <c r="C19" s="11">
        <v>302</v>
      </c>
      <c r="D19" s="11">
        <v>183</v>
      </c>
      <c r="E19" s="12" t="s">
        <v>8</v>
      </c>
      <c r="F19" s="12"/>
      <c r="G19" s="13" t="s">
        <v>41</v>
      </c>
    </row>
    <row r="20" spans="1:7" ht="30" customHeight="1" x14ac:dyDescent="0.25">
      <c r="A20" s="6" t="s">
        <v>42</v>
      </c>
      <c r="B20" s="7">
        <v>3</v>
      </c>
      <c r="C20" s="7">
        <v>55</v>
      </c>
      <c r="D20" s="7">
        <v>-52</v>
      </c>
      <c r="E20" s="8"/>
      <c r="F20" s="8" t="s">
        <v>15</v>
      </c>
      <c r="G20" s="9" t="s">
        <v>43</v>
      </c>
    </row>
    <row r="21" spans="1:7" ht="30" customHeight="1" x14ac:dyDescent="0.25">
      <c r="A21" s="10" t="s">
        <v>44</v>
      </c>
      <c r="B21" s="11">
        <v>501</v>
      </c>
      <c r="C21" s="11">
        <v>474</v>
      </c>
      <c r="D21" s="11">
        <v>27</v>
      </c>
      <c r="E21" s="12" t="s">
        <v>8</v>
      </c>
      <c r="F21" s="12"/>
      <c r="G21" s="13" t="s">
        <v>45</v>
      </c>
    </row>
    <row r="22" spans="1:7" ht="30" customHeight="1" x14ac:dyDescent="0.25">
      <c r="A22" s="6" t="s">
        <v>46</v>
      </c>
      <c r="B22" s="7">
        <v>90</v>
      </c>
      <c r="C22" s="7">
        <v>225</v>
      </c>
      <c r="D22" s="7">
        <v>-135</v>
      </c>
      <c r="E22" s="8"/>
      <c r="F22" s="8" t="s">
        <v>15</v>
      </c>
      <c r="G22" s="9" t="s">
        <v>47</v>
      </c>
    </row>
    <row r="23" spans="1:7" ht="30" customHeight="1" x14ac:dyDescent="0.25">
      <c r="A23" s="10" t="s">
        <v>48</v>
      </c>
      <c r="B23" s="11">
        <v>613</v>
      </c>
      <c r="C23" s="11">
        <v>586</v>
      </c>
      <c r="D23" s="11">
        <v>27</v>
      </c>
      <c r="E23" s="12" t="s">
        <v>8</v>
      </c>
      <c r="F23" s="12"/>
      <c r="G23" s="13" t="s">
        <v>49</v>
      </c>
    </row>
    <row r="24" spans="1:7" ht="30" customHeight="1" x14ac:dyDescent="0.25">
      <c r="A24" s="6" t="s">
        <v>50</v>
      </c>
      <c r="B24" s="7">
        <v>1809</v>
      </c>
      <c r="C24" s="7">
        <v>1166</v>
      </c>
      <c r="D24" s="7">
        <v>643</v>
      </c>
      <c r="E24" s="8" t="s">
        <v>8</v>
      </c>
      <c r="F24" s="8"/>
      <c r="G24" s="9" t="s">
        <v>51</v>
      </c>
    </row>
    <row r="25" spans="1:7" ht="30" customHeight="1" x14ac:dyDescent="0.25">
      <c r="A25" s="10" t="s">
        <v>52</v>
      </c>
      <c r="B25" s="11">
        <v>172</v>
      </c>
      <c r="C25" s="11">
        <v>356</v>
      </c>
      <c r="D25" s="11">
        <v>-184</v>
      </c>
      <c r="E25" s="12"/>
      <c r="F25" s="12" t="s">
        <v>15</v>
      </c>
      <c r="G25" s="13" t="s">
        <v>53</v>
      </c>
    </row>
    <row r="26" spans="1:7" ht="30" customHeight="1" x14ac:dyDescent="0.25">
      <c r="A26" s="6" t="s">
        <v>54</v>
      </c>
      <c r="B26" s="7">
        <v>0</v>
      </c>
      <c r="C26" s="7">
        <v>0</v>
      </c>
      <c r="D26" s="7">
        <v>0</v>
      </c>
      <c r="E26" s="8"/>
      <c r="F26" s="8"/>
      <c r="G26" s="9"/>
    </row>
    <row r="27" spans="1:7" ht="30" customHeight="1" x14ac:dyDescent="0.25">
      <c r="A27" s="10" t="s">
        <v>55</v>
      </c>
      <c r="B27" s="11">
        <v>231</v>
      </c>
      <c r="C27" s="11">
        <v>146</v>
      </c>
      <c r="D27" s="11">
        <v>85</v>
      </c>
      <c r="E27" s="12" t="s">
        <v>8</v>
      </c>
      <c r="F27" s="12"/>
      <c r="G27" s="13" t="s">
        <v>56</v>
      </c>
    </row>
    <row r="28" spans="1:7" ht="30" customHeight="1" x14ac:dyDescent="0.25">
      <c r="A28" s="6" t="s">
        <v>57</v>
      </c>
      <c r="B28" s="7">
        <v>132</v>
      </c>
      <c r="C28" s="7">
        <v>120</v>
      </c>
      <c r="D28" s="7">
        <v>12</v>
      </c>
      <c r="E28" s="8" t="s">
        <v>8</v>
      </c>
      <c r="F28" s="8"/>
      <c r="G28" s="9" t="s">
        <v>58</v>
      </c>
    </row>
    <row r="29" spans="1:7" ht="30" customHeight="1" x14ac:dyDescent="0.25">
      <c r="A29" s="10" t="s">
        <v>59</v>
      </c>
      <c r="B29" s="11">
        <v>891</v>
      </c>
      <c r="C29" s="11">
        <v>550</v>
      </c>
      <c r="D29" s="11">
        <v>341</v>
      </c>
      <c r="E29" s="12" t="s">
        <v>8</v>
      </c>
      <c r="F29" s="12"/>
      <c r="G29" s="13" t="s">
        <v>60</v>
      </c>
    </row>
    <row r="30" spans="1:7" ht="30" customHeight="1" x14ac:dyDescent="0.25">
      <c r="A30" s="6" t="s">
        <v>61</v>
      </c>
      <c r="B30" s="7">
        <v>24</v>
      </c>
      <c r="C30" s="7">
        <v>29</v>
      </c>
      <c r="D30" s="7">
        <v>-5</v>
      </c>
      <c r="E30" s="8"/>
      <c r="F30" s="8" t="s">
        <v>15</v>
      </c>
      <c r="G30" s="9" t="s">
        <v>62</v>
      </c>
    </row>
    <row r="31" spans="1:7" ht="30" customHeight="1" x14ac:dyDescent="0.25">
      <c r="A31" s="10" t="s">
        <v>63</v>
      </c>
      <c r="B31" s="11">
        <v>119</v>
      </c>
      <c r="C31" s="11">
        <v>231</v>
      </c>
      <c r="D31" s="11">
        <v>-112</v>
      </c>
      <c r="E31" s="12"/>
      <c r="F31" s="12" t="s">
        <v>15</v>
      </c>
      <c r="G31" s="13" t="s">
        <v>64</v>
      </c>
    </row>
    <row r="32" spans="1:7" ht="30" customHeight="1" x14ac:dyDescent="0.25">
      <c r="A32" s="6" t="s">
        <v>65</v>
      </c>
      <c r="B32" s="7">
        <v>521</v>
      </c>
      <c r="C32" s="7">
        <v>520</v>
      </c>
      <c r="D32" s="7">
        <v>1</v>
      </c>
      <c r="E32" s="8" t="s">
        <v>8</v>
      </c>
      <c r="F32" s="8"/>
      <c r="G32" s="9" t="s">
        <v>66</v>
      </c>
    </row>
    <row r="33" spans="1:7" ht="30" customHeight="1" x14ac:dyDescent="0.25">
      <c r="A33" s="10" t="s">
        <v>67</v>
      </c>
      <c r="B33" s="11">
        <v>373</v>
      </c>
      <c r="C33" s="11">
        <v>407</v>
      </c>
      <c r="D33" s="11">
        <v>-34</v>
      </c>
      <c r="E33" s="12"/>
      <c r="F33" s="12" t="s">
        <v>15</v>
      </c>
      <c r="G33" s="13" t="s">
        <v>68</v>
      </c>
    </row>
    <row r="34" spans="1:7" ht="30" customHeight="1" x14ac:dyDescent="0.25">
      <c r="A34" s="6" t="s">
        <v>69</v>
      </c>
      <c r="B34" s="7">
        <v>208</v>
      </c>
      <c r="C34" s="7">
        <v>104</v>
      </c>
      <c r="D34" s="7">
        <v>104</v>
      </c>
      <c r="E34" s="8" t="s">
        <v>8</v>
      </c>
      <c r="F34" s="8"/>
      <c r="G34" s="9" t="s">
        <v>70</v>
      </c>
    </row>
    <row r="35" spans="1:7" ht="30" customHeight="1" x14ac:dyDescent="0.25">
      <c r="A35" s="10" t="s">
        <v>71</v>
      </c>
      <c r="B35" s="11">
        <v>925</v>
      </c>
      <c r="C35" s="11">
        <v>1641</v>
      </c>
      <c r="D35" s="11">
        <v>-716</v>
      </c>
      <c r="E35" s="12"/>
      <c r="F35" s="12" t="s">
        <v>15</v>
      </c>
      <c r="G35" s="13" t="s">
        <v>72</v>
      </c>
    </row>
    <row r="36" spans="1:7" ht="30" customHeight="1" x14ac:dyDescent="0.25">
      <c r="A36" s="6" t="s">
        <v>73</v>
      </c>
      <c r="B36" s="7">
        <v>180</v>
      </c>
      <c r="C36" s="7">
        <v>644</v>
      </c>
      <c r="D36" s="7">
        <v>-464</v>
      </c>
      <c r="E36" s="8"/>
      <c r="F36" s="8" t="s">
        <v>15</v>
      </c>
      <c r="G36" s="9" t="s">
        <v>74</v>
      </c>
    </row>
    <row r="37" spans="1:7" ht="30" customHeight="1" x14ac:dyDescent="0.25">
      <c r="A37" s="10" t="s">
        <v>75</v>
      </c>
      <c r="B37" s="11">
        <v>493</v>
      </c>
      <c r="C37" s="11">
        <v>460</v>
      </c>
      <c r="D37" s="11">
        <v>33</v>
      </c>
      <c r="E37" s="12" t="s">
        <v>8</v>
      </c>
      <c r="F37" s="12"/>
      <c r="G37" s="13" t="s">
        <v>76</v>
      </c>
    </row>
    <row r="38" spans="1:7" ht="30" customHeight="1" x14ac:dyDescent="0.25">
      <c r="A38" s="6" t="s">
        <v>77</v>
      </c>
      <c r="B38" s="7">
        <v>19</v>
      </c>
      <c r="C38" s="7">
        <v>219</v>
      </c>
      <c r="D38" s="7">
        <v>-200</v>
      </c>
      <c r="E38" s="8"/>
      <c r="F38" s="8" t="s">
        <v>15</v>
      </c>
      <c r="G38" s="9" t="s">
        <v>78</v>
      </c>
    </row>
    <row r="39" spans="1:7" ht="30" customHeight="1" x14ac:dyDescent="0.25">
      <c r="A39" s="10" t="s">
        <v>79</v>
      </c>
      <c r="B39" s="11">
        <v>9</v>
      </c>
      <c r="C39" s="11">
        <v>40</v>
      </c>
      <c r="D39" s="11">
        <v>-31</v>
      </c>
      <c r="E39" s="12"/>
      <c r="F39" s="12" t="s">
        <v>15</v>
      </c>
      <c r="G39" s="13" t="s">
        <v>80</v>
      </c>
    </row>
    <row r="40" spans="1:7" ht="30" customHeight="1" x14ac:dyDescent="0.25">
      <c r="A40" s="22" t="s">
        <v>81</v>
      </c>
      <c r="B40" s="23">
        <v>87</v>
      </c>
      <c r="C40" s="23">
        <v>96</v>
      </c>
      <c r="D40" s="23">
        <v>-9</v>
      </c>
      <c r="E40" s="24"/>
      <c r="F40" s="24" t="s">
        <v>15</v>
      </c>
      <c r="G40" s="25" t="s">
        <v>82</v>
      </c>
    </row>
    <row r="41" spans="1:7" ht="30" customHeight="1" x14ac:dyDescent="0.25">
      <c r="A41" s="26" t="s">
        <v>83</v>
      </c>
      <c r="B41" s="27">
        <v>7</v>
      </c>
      <c r="C41" s="27">
        <v>6</v>
      </c>
      <c r="D41" s="27">
        <v>1</v>
      </c>
      <c r="E41" s="28" t="s">
        <v>8</v>
      </c>
      <c r="F41" s="28"/>
      <c r="G41" s="29" t="s">
        <v>84</v>
      </c>
    </row>
    <row r="42" spans="1:7" ht="30" customHeight="1" x14ac:dyDescent="0.25">
      <c r="A42" s="22" t="s">
        <v>85</v>
      </c>
      <c r="B42" s="23">
        <v>15</v>
      </c>
      <c r="C42" s="23">
        <v>24</v>
      </c>
      <c r="D42" s="23">
        <v>-9</v>
      </c>
      <c r="E42" s="24"/>
      <c r="F42" s="24" t="s">
        <v>15</v>
      </c>
      <c r="G42" s="25" t="s">
        <v>86</v>
      </c>
    </row>
    <row r="43" spans="1:7" ht="30" customHeight="1" x14ac:dyDescent="0.25">
      <c r="A43" s="26" t="s">
        <v>87</v>
      </c>
      <c r="B43" s="27">
        <v>240</v>
      </c>
      <c r="C43" s="27">
        <v>105</v>
      </c>
      <c r="D43" s="27">
        <v>135</v>
      </c>
      <c r="E43" s="28" t="s">
        <v>8</v>
      </c>
      <c r="F43" s="28"/>
      <c r="G43" s="29" t="s">
        <v>88</v>
      </c>
    </row>
    <row r="44" spans="1:7" ht="30" customHeight="1" x14ac:dyDescent="0.25">
      <c r="A44" s="6" t="s">
        <v>89</v>
      </c>
      <c r="B44" s="7">
        <v>63</v>
      </c>
      <c r="C44" s="7">
        <v>155</v>
      </c>
      <c r="D44" s="7">
        <v>-92</v>
      </c>
      <c r="E44" s="8"/>
      <c r="F44" s="8" t="s">
        <v>15</v>
      </c>
      <c r="G44" s="9" t="s">
        <v>90</v>
      </c>
    </row>
    <row r="45" spans="1:7" ht="30" customHeight="1" x14ac:dyDescent="0.25">
      <c r="A45" s="10" t="s">
        <v>91</v>
      </c>
      <c r="B45" s="11">
        <v>598</v>
      </c>
      <c r="C45" s="11">
        <v>543</v>
      </c>
      <c r="D45" s="11">
        <v>55</v>
      </c>
      <c r="E45" s="12" t="s">
        <v>8</v>
      </c>
      <c r="F45" s="12"/>
      <c r="G45" s="13" t="s">
        <v>58</v>
      </c>
    </row>
    <row r="46" spans="1:7" ht="30" customHeight="1" x14ac:dyDescent="0.25">
      <c r="A46" s="6" t="s">
        <v>92</v>
      </c>
      <c r="B46" s="7">
        <v>1116</v>
      </c>
      <c r="C46" s="7">
        <v>809</v>
      </c>
      <c r="D46" s="7">
        <v>307</v>
      </c>
      <c r="E46" s="8" t="s">
        <v>8</v>
      </c>
      <c r="F46" s="8"/>
      <c r="G46" s="9" t="s">
        <v>93</v>
      </c>
    </row>
    <row r="47" spans="1:7" ht="30" customHeight="1" x14ac:dyDescent="0.25">
      <c r="A47" s="10" t="s">
        <v>94</v>
      </c>
      <c r="B47" s="11">
        <v>208</v>
      </c>
      <c r="C47" s="11">
        <v>670</v>
      </c>
      <c r="D47" s="11">
        <v>-462</v>
      </c>
      <c r="E47" s="12"/>
      <c r="F47" s="12" t="s">
        <v>15</v>
      </c>
      <c r="G47" s="13" t="s">
        <v>36</v>
      </c>
    </row>
    <row r="48" spans="1:7" ht="30" customHeight="1" x14ac:dyDescent="0.25">
      <c r="A48" s="6" t="s">
        <v>95</v>
      </c>
      <c r="B48" s="7">
        <v>416</v>
      </c>
      <c r="C48" s="7">
        <v>324</v>
      </c>
      <c r="D48" s="7">
        <v>92</v>
      </c>
      <c r="E48" s="8" t="s">
        <v>8</v>
      </c>
      <c r="F48" s="8"/>
      <c r="G48" s="9" t="s">
        <v>96</v>
      </c>
    </row>
    <row r="49" spans="1:7" ht="30" customHeight="1" x14ac:dyDescent="0.25">
      <c r="A49" s="10" t="s">
        <v>97</v>
      </c>
      <c r="B49" s="11">
        <v>873</v>
      </c>
      <c r="C49" s="11">
        <v>533</v>
      </c>
      <c r="D49" s="11">
        <v>340</v>
      </c>
      <c r="E49" s="12" t="s">
        <v>8</v>
      </c>
      <c r="F49" s="12"/>
      <c r="G49" s="13" t="s">
        <v>98</v>
      </c>
    </row>
    <row r="50" spans="1:7" ht="30" customHeight="1" x14ac:dyDescent="0.25">
      <c r="A50" s="6" t="s">
        <v>99</v>
      </c>
      <c r="B50" s="7">
        <v>134</v>
      </c>
      <c r="C50" s="7">
        <v>166</v>
      </c>
      <c r="D50" s="7">
        <v>-32</v>
      </c>
      <c r="E50" s="8"/>
      <c r="F50" s="8" t="s">
        <v>15</v>
      </c>
      <c r="G50" s="9" t="s">
        <v>100</v>
      </c>
    </row>
    <row r="51" spans="1:7" ht="30" customHeight="1" x14ac:dyDescent="0.25">
      <c r="A51" s="10" t="s">
        <v>101</v>
      </c>
      <c r="B51" s="11">
        <v>695</v>
      </c>
      <c r="C51" s="11">
        <v>355</v>
      </c>
      <c r="D51" s="11">
        <v>340</v>
      </c>
      <c r="E51" s="12" t="s">
        <v>8</v>
      </c>
      <c r="F51" s="12"/>
      <c r="G51" s="13" t="s">
        <v>102</v>
      </c>
    </row>
    <row r="52" spans="1:7" ht="30" customHeight="1" x14ac:dyDescent="0.25">
      <c r="A52" s="6" t="s">
        <v>103</v>
      </c>
      <c r="B52" s="7">
        <v>64</v>
      </c>
      <c r="C52" s="7">
        <v>236</v>
      </c>
      <c r="D52" s="7">
        <v>-172</v>
      </c>
      <c r="E52" s="8"/>
      <c r="F52" s="8" t="s">
        <v>15</v>
      </c>
      <c r="G52" s="9" t="s">
        <v>104</v>
      </c>
    </row>
    <row r="53" spans="1:7" ht="30" customHeight="1" x14ac:dyDescent="0.25">
      <c r="A53" s="10" t="s">
        <v>105</v>
      </c>
      <c r="B53" s="11">
        <v>29</v>
      </c>
      <c r="C53" s="11">
        <v>294</v>
      </c>
      <c r="D53" s="11">
        <v>-265</v>
      </c>
      <c r="E53" s="12"/>
      <c r="F53" s="12" t="s">
        <v>15</v>
      </c>
      <c r="G53" s="13" t="s">
        <v>106</v>
      </c>
    </row>
    <row r="54" spans="1:7" ht="30" customHeight="1" x14ac:dyDescent="0.25">
      <c r="A54" s="30" t="s">
        <v>107</v>
      </c>
      <c r="B54" s="31">
        <v>318</v>
      </c>
      <c r="C54" s="31">
        <v>219</v>
      </c>
      <c r="D54" s="31">
        <v>99</v>
      </c>
      <c r="E54" s="32" t="s">
        <v>8</v>
      </c>
      <c r="F54" s="32"/>
      <c r="G54" s="33" t="s">
        <v>108</v>
      </c>
    </row>
  </sheetData>
  <autoFilter ref="A1:G54" xr:uid="{00000000-0009-0000-0000-000000000000}"/>
  <conditionalFormatting sqref="E2">
    <cfRule type="expression" dxfId="88" priority="7">
      <formula>"D2&gt;0"</formula>
    </cfRule>
  </conditionalFormatting>
  <conditionalFormatting sqref="E2:E37 E40:E54">
    <cfRule type="containsText" dxfId="87" priority="6" operator="containsText" text="We borrowerd more than we lent">
      <formula>NOT(ISERROR(SEARCH("We borrowerd more than we lent",E2)))</formula>
    </cfRule>
  </conditionalFormatting>
  <conditionalFormatting sqref="F2:F37 F40:F54">
    <cfRule type="containsText" dxfId="86" priority="5" operator="containsText" text="We lent more than we borrowed">
      <formula>NOT(ISERROR(SEARCH("We lent more than we borrowed",F2)))</formula>
    </cfRule>
  </conditionalFormatting>
  <conditionalFormatting sqref="E38">
    <cfRule type="containsText" dxfId="85" priority="4" operator="containsText" text="We borrowerd more than we lent">
      <formula>NOT(ISERROR(SEARCH("We borrowerd more than we lent",E38)))</formula>
    </cfRule>
  </conditionalFormatting>
  <conditionalFormatting sqref="F38">
    <cfRule type="containsText" dxfId="84" priority="3" operator="containsText" text="We lent more than we borrowed">
      <formula>NOT(ISERROR(SEARCH("We lent more than we borrowed",F38)))</formula>
    </cfRule>
  </conditionalFormatting>
  <conditionalFormatting sqref="E39">
    <cfRule type="containsText" dxfId="83" priority="2" operator="containsText" text="We borrowerd more than we lent">
      <formula>NOT(ISERROR(SEARCH("We borrowerd more than we lent",E39)))</formula>
    </cfRule>
  </conditionalFormatting>
  <conditionalFormatting sqref="F39">
    <cfRule type="containsText" dxfId="82" priority="1" operator="containsText" text="We lent more than we borrowed">
      <formula>NOT(ISERROR(SEARCH("We lent more than we borrowed",F39)))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G54"/>
  <sheetViews>
    <sheetView zoomScale="85" zoomScaleNormal="85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ColWidth="9.140625" defaultRowHeight="15" x14ac:dyDescent="0.25"/>
  <cols>
    <col min="1" max="1" width="45.7109375" customWidth="1"/>
    <col min="2" max="3" width="30.7109375" customWidth="1"/>
    <col min="4" max="4" width="20.7109375" customWidth="1"/>
    <col min="5" max="6" width="25.7109375" style="34" customWidth="1"/>
    <col min="7" max="7" width="28.7109375" customWidth="1"/>
  </cols>
  <sheetData>
    <row r="1" spans="1:7" s="5" customFormat="1" ht="30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4" t="s">
        <v>6</v>
      </c>
    </row>
    <row r="2" spans="1:7" ht="30" customHeight="1" x14ac:dyDescent="0.25">
      <c r="A2" s="6" t="s">
        <v>7</v>
      </c>
      <c r="B2" s="7">
        <v>1366</v>
      </c>
      <c r="C2" s="7">
        <v>1141</v>
      </c>
      <c r="D2" s="7">
        <v>225</v>
      </c>
      <c r="E2" s="8" t="s">
        <v>8</v>
      </c>
      <c r="F2" s="8"/>
      <c r="G2" s="9" t="s">
        <v>109</v>
      </c>
    </row>
    <row r="3" spans="1:7" ht="30" customHeight="1" x14ac:dyDescent="0.25">
      <c r="A3" s="10" t="s">
        <v>10</v>
      </c>
      <c r="B3" s="11">
        <v>672</v>
      </c>
      <c r="C3" s="11">
        <v>360</v>
      </c>
      <c r="D3" s="11">
        <v>312</v>
      </c>
      <c r="E3" s="12" t="s">
        <v>8</v>
      </c>
      <c r="F3" s="12"/>
      <c r="G3" s="13" t="s">
        <v>110</v>
      </c>
    </row>
    <row r="4" spans="1:7" ht="30" customHeight="1" x14ac:dyDescent="0.25">
      <c r="A4" s="6" t="s">
        <v>12</v>
      </c>
      <c r="B4" s="7">
        <v>1140</v>
      </c>
      <c r="C4" s="7">
        <v>1008</v>
      </c>
      <c r="D4" s="7">
        <v>132</v>
      </c>
      <c r="E4" s="8" t="s">
        <v>8</v>
      </c>
      <c r="F4" s="8"/>
      <c r="G4" s="9" t="s">
        <v>111</v>
      </c>
    </row>
    <row r="5" spans="1:7" ht="30" customHeight="1" x14ac:dyDescent="0.25">
      <c r="A5" s="10" t="s">
        <v>14</v>
      </c>
      <c r="B5" s="11">
        <v>18</v>
      </c>
      <c r="C5" s="11">
        <v>111</v>
      </c>
      <c r="D5" s="11">
        <v>-93</v>
      </c>
      <c r="E5" s="12"/>
      <c r="F5" s="12" t="s">
        <v>15</v>
      </c>
      <c r="G5" s="13" t="s">
        <v>112</v>
      </c>
    </row>
    <row r="6" spans="1:7" ht="30" customHeight="1" x14ac:dyDescent="0.25">
      <c r="A6" s="6" t="s">
        <v>17</v>
      </c>
      <c r="B6" s="7">
        <v>966</v>
      </c>
      <c r="C6" s="7">
        <v>1153</v>
      </c>
      <c r="D6" s="7">
        <v>-187</v>
      </c>
      <c r="E6" s="8"/>
      <c r="F6" s="8" t="s">
        <v>15</v>
      </c>
      <c r="G6" s="9" t="s">
        <v>113</v>
      </c>
    </row>
    <row r="7" spans="1:7" ht="30" customHeight="1" x14ac:dyDescent="0.25">
      <c r="A7" s="10" t="s">
        <v>19</v>
      </c>
      <c r="B7" s="11">
        <v>169</v>
      </c>
      <c r="C7" s="11">
        <v>147</v>
      </c>
      <c r="D7" s="11">
        <v>22</v>
      </c>
      <c r="E7" s="12" t="s">
        <v>8</v>
      </c>
      <c r="F7" s="12"/>
      <c r="G7" s="13" t="s">
        <v>114</v>
      </c>
    </row>
    <row r="8" spans="1:7" ht="30" customHeight="1" x14ac:dyDescent="0.25">
      <c r="A8" s="6" t="s">
        <v>21</v>
      </c>
      <c r="B8" s="7">
        <v>107</v>
      </c>
      <c r="C8" s="7">
        <v>180</v>
      </c>
      <c r="D8" s="7">
        <v>-73</v>
      </c>
      <c r="E8" s="8"/>
      <c r="F8" s="8" t="s">
        <v>15</v>
      </c>
      <c r="G8" s="9" t="s">
        <v>115</v>
      </c>
    </row>
    <row r="9" spans="1:7" ht="30" customHeight="1" x14ac:dyDescent="0.25">
      <c r="A9" s="10" t="s">
        <v>23</v>
      </c>
      <c r="B9" s="11">
        <v>67</v>
      </c>
      <c r="C9" s="11">
        <v>49</v>
      </c>
      <c r="D9" s="11">
        <v>18</v>
      </c>
      <c r="E9" s="12" t="s">
        <v>8</v>
      </c>
      <c r="F9" s="12"/>
      <c r="G9" s="13" t="s">
        <v>116</v>
      </c>
    </row>
    <row r="10" spans="1:7" ht="30" customHeight="1" x14ac:dyDescent="0.25">
      <c r="A10" s="6" t="s">
        <v>24</v>
      </c>
      <c r="B10" s="7">
        <v>3</v>
      </c>
      <c r="C10" s="7">
        <v>31</v>
      </c>
      <c r="D10" s="7">
        <v>-28</v>
      </c>
      <c r="E10" s="8"/>
      <c r="F10" s="8" t="s">
        <v>15</v>
      </c>
      <c r="G10" s="9" t="s">
        <v>106</v>
      </c>
    </row>
    <row r="11" spans="1:7" ht="30" customHeight="1" x14ac:dyDescent="0.25">
      <c r="A11" s="10" t="s">
        <v>26</v>
      </c>
      <c r="B11" s="11">
        <v>0</v>
      </c>
      <c r="C11" s="11">
        <v>0</v>
      </c>
      <c r="D11" s="11">
        <v>0</v>
      </c>
      <c r="E11" s="12"/>
      <c r="F11" s="12"/>
      <c r="G11" s="13"/>
    </row>
    <row r="12" spans="1:7" ht="30" customHeight="1" x14ac:dyDescent="0.25">
      <c r="A12" s="14" t="s">
        <v>27</v>
      </c>
      <c r="B12" s="15">
        <v>2</v>
      </c>
      <c r="C12" s="15">
        <v>21</v>
      </c>
      <c r="D12" s="15">
        <v>-19</v>
      </c>
      <c r="E12" s="16"/>
      <c r="F12" s="16" t="s">
        <v>15</v>
      </c>
      <c r="G12" s="17" t="s">
        <v>106</v>
      </c>
    </row>
    <row r="13" spans="1:7" ht="30" customHeight="1" x14ac:dyDescent="0.25">
      <c r="A13" s="18" t="s">
        <v>29</v>
      </c>
      <c r="B13" s="19">
        <v>52</v>
      </c>
      <c r="C13" s="19">
        <v>80</v>
      </c>
      <c r="D13" s="19">
        <v>-28</v>
      </c>
      <c r="E13" s="20"/>
      <c r="F13" s="20" t="s">
        <v>15</v>
      </c>
      <c r="G13" s="21" t="s">
        <v>22</v>
      </c>
    </row>
    <row r="14" spans="1:7" ht="30" customHeight="1" x14ac:dyDescent="0.25">
      <c r="A14" s="14" t="s">
        <v>31</v>
      </c>
      <c r="B14" s="15">
        <v>126</v>
      </c>
      <c r="C14" s="15">
        <v>280</v>
      </c>
      <c r="D14" s="15">
        <v>-154</v>
      </c>
      <c r="E14" s="16"/>
      <c r="F14" s="16" t="s">
        <v>15</v>
      </c>
      <c r="G14" s="17" t="s">
        <v>117</v>
      </c>
    </row>
    <row r="15" spans="1:7" ht="30" customHeight="1" x14ac:dyDescent="0.25">
      <c r="A15" s="18" t="s">
        <v>33</v>
      </c>
      <c r="B15" s="19">
        <v>46</v>
      </c>
      <c r="C15" s="19">
        <v>165</v>
      </c>
      <c r="D15" s="19">
        <v>-119</v>
      </c>
      <c r="E15" s="20"/>
      <c r="F15" s="20" t="s">
        <v>15</v>
      </c>
      <c r="G15" s="21" t="s">
        <v>74</v>
      </c>
    </row>
    <row r="16" spans="1:7" ht="30" customHeight="1" x14ac:dyDescent="0.25">
      <c r="A16" s="6" t="s">
        <v>35</v>
      </c>
      <c r="B16" s="7">
        <v>60</v>
      </c>
      <c r="C16" s="7">
        <v>186</v>
      </c>
      <c r="D16" s="7">
        <v>-126</v>
      </c>
      <c r="E16" s="8"/>
      <c r="F16" s="8" t="s">
        <v>15</v>
      </c>
      <c r="G16" s="9" t="s">
        <v>28</v>
      </c>
    </row>
    <row r="17" spans="1:7" ht="30" customHeight="1" x14ac:dyDescent="0.25">
      <c r="A17" s="10" t="s">
        <v>37</v>
      </c>
      <c r="B17" s="11">
        <v>728</v>
      </c>
      <c r="C17" s="11">
        <v>422</v>
      </c>
      <c r="D17" s="11">
        <v>306</v>
      </c>
      <c r="E17" s="12" t="s">
        <v>8</v>
      </c>
      <c r="F17" s="12"/>
      <c r="G17" s="13" t="s">
        <v>118</v>
      </c>
    </row>
    <row r="18" spans="1:7" ht="30" customHeight="1" x14ac:dyDescent="0.25">
      <c r="A18" s="6" t="s">
        <v>38</v>
      </c>
      <c r="B18" s="7">
        <v>114</v>
      </c>
      <c r="C18" s="7">
        <v>81</v>
      </c>
      <c r="D18" s="7">
        <v>33</v>
      </c>
      <c r="E18" s="8" t="s">
        <v>8</v>
      </c>
      <c r="F18" s="8"/>
      <c r="G18" s="9" t="s">
        <v>119</v>
      </c>
    </row>
    <row r="19" spans="1:7" ht="30" customHeight="1" x14ac:dyDescent="0.25">
      <c r="A19" s="10" t="s">
        <v>40</v>
      </c>
      <c r="B19" s="11">
        <v>724</v>
      </c>
      <c r="C19" s="11">
        <v>340</v>
      </c>
      <c r="D19" s="11">
        <v>384</v>
      </c>
      <c r="E19" s="12" t="s">
        <v>8</v>
      </c>
      <c r="F19" s="12"/>
      <c r="G19" s="13" t="s">
        <v>120</v>
      </c>
    </row>
    <row r="20" spans="1:7" ht="30" customHeight="1" x14ac:dyDescent="0.25">
      <c r="A20" s="6" t="s">
        <v>42</v>
      </c>
      <c r="B20" s="7">
        <v>4</v>
      </c>
      <c r="C20" s="7">
        <v>54</v>
      </c>
      <c r="D20" s="7">
        <v>-50</v>
      </c>
      <c r="E20" s="8"/>
      <c r="F20" s="8" t="s">
        <v>15</v>
      </c>
      <c r="G20" s="9" t="s">
        <v>121</v>
      </c>
    </row>
    <row r="21" spans="1:7" ht="30" customHeight="1" x14ac:dyDescent="0.25">
      <c r="A21" s="10" t="s">
        <v>44</v>
      </c>
      <c r="B21" s="11">
        <v>448</v>
      </c>
      <c r="C21" s="11">
        <v>385</v>
      </c>
      <c r="D21" s="11">
        <v>63</v>
      </c>
      <c r="E21" s="12" t="s">
        <v>8</v>
      </c>
      <c r="F21" s="12"/>
      <c r="G21" s="13" t="s">
        <v>122</v>
      </c>
    </row>
    <row r="22" spans="1:7" ht="30" customHeight="1" x14ac:dyDescent="0.25">
      <c r="A22" s="6" t="s">
        <v>46</v>
      </c>
      <c r="B22" s="7">
        <v>129</v>
      </c>
      <c r="C22" s="7">
        <v>272</v>
      </c>
      <c r="D22" s="7">
        <v>-143</v>
      </c>
      <c r="E22" s="8"/>
      <c r="F22" s="8" t="s">
        <v>15</v>
      </c>
      <c r="G22" s="9" t="s">
        <v>123</v>
      </c>
    </row>
    <row r="23" spans="1:7" ht="30" customHeight="1" x14ac:dyDescent="0.25">
      <c r="A23" s="10" t="s">
        <v>48</v>
      </c>
      <c r="B23" s="11">
        <v>581</v>
      </c>
      <c r="C23" s="11">
        <v>536</v>
      </c>
      <c r="D23" s="11">
        <v>45</v>
      </c>
      <c r="E23" s="12" t="s">
        <v>8</v>
      </c>
      <c r="F23" s="12"/>
      <c r="G23" s="13" t="s">
        <v>124</v>
      </c>
    </row>
    <row r="24" spans="1:7" ht="30" customHeight="1" x14ac:dyDescent="0.25">
      <c r="A24" s="6" t="s">
        <v>50</v>
      </c>
      <c r="B24" s="7">
        <v>1901</v>
      </c>
      <c r="C24" s="7">
        <v>1621</v>
      </c>
      <c r="D24" s="7">
        <v>280</v>
      </c>
      <c r="E24" s="8" t="s">
        <v>8</v>
      </c>
      <c r="F24" s="8"/>
      <c r="G24" s="9" t="s">
        <v>84</v>
      </c>
    </row>
    <row r="25" spans="1:7" ht="30" customHeight="1" x14ac:dyDescent="0.25">
      <c r="A25" s="10" t="s">
        <v>52</v>
      </c>
      <c r="B25" s="11">
        <v>174</v>
      </c>
      <c r="C25" s="11">
        <v>304</v>
      </c>
      <c r="D25" s="11">
        <v>-130</v>
      </c>
      <c r="E25" s="12"/>
      <c r="F25" s="12" t="s">
        <v>15</v>
      </c>
      <c r="G25" s="13" t="s">
        <v>125</v>
      </c>
    </row>
    <row r="26" spans="1:7" ht="30" customHeight="1" x14ac:dyDescent="0.25">
      <c r="A26" s="6" t="s">
        <v>54</v>
      </c>
      <c r="B26" s="7">
        <v>0</v>
      </c>
      <c r="C26" s="7">
        <v>0</v>
      </c>
      <c r="D26" s="7">
        <v>0</v>
      </c>
      <c r="E26" s="8"/>
      <c r="F26" s="8"/>
      <c r="G26" s="9"/>
    </row>
    <row r="27" spans="1:7" ht="30" customHeight="1" x14ac:dyDescent="0.25">
      <c r="A27" s="10" t="s">
        <v>55</v>
      </c>
      <c r="B27" s="11">
        <v>172</v>
      </c>
      <c r="C27" s="11">
        <v>150</v>
      </c>
      <c r="D27" s="11">
        <v>22</v>
      </c>
      <c r="E27" s="12" t="s">
        <v>8</v>
      </c>
      <c r="F27" s="12"/>
      <c r="G27" s="13" t="s">
        <v>114</v>
      </c>
    </row>
    <row r="28" spans="1:7" ht="30" customHeight="1" x14ac:dyDescent="0.25">
      <c r="A28" s="6" t="s">
        <v>57</v>
      </c>
      <c r="B28" s="7">
        <v>126</v>
      </c>
      <c r="C28" s="7">
        <v>144</v>
      </c>
      <c r="D28" s="7">
        <v>-18</v>
      </c>
      <c r="E28" s="8"/>
      <c r="F28" s="8" t="s">
        <v>15</v>
      </c>
      <c r="G28" s="9" t="s">
        <v>126</v>
      </c>
    </row>
    <row r="29" spans="1:7" ht="30" customHeight="1" x14ac:dyDescent="0.25">
      <c r="A29" s="10" t="s">
        <v>59</v>
      </c>
      <c r="B29" s="11">
        <v>870</v>
      </c>
      <c r="C29" s="11">
        <v>484</v>
      </c>
      <c r="D29" s="11">
        <v>386</v>
      </c>
      <c r="E29" s="12" t="s">
        <v>8</v>
      </c>
      <c r="F29" s="12"/>
      <c r="G29" s="13" t="s">
        <v>127</v>
      </c>
    </row>
    <row r="30" spans="1:7" ht="30" customHeight="1" x14ac:dyDescent="0.25">
      <c r="A30" s="6" t="s">
        <v>61</v>
      </c>
      <c r="B30" s="7">
        <v>9</v>
      </c>
      <c r="C30" s="7">
        <v>25</v>
      </c>
      <c r="D30" s="7">
        <v>-16</v>
      </c>
      <c r="E30" s="8"/>
      <c r="F30" s="8" t="s">
        <v>15</v>
      </c>
      <c r="G30" s="9" t="s">
        <v>128</v>
      </c>
    </row>
    <row r="31" spans="1:7" ht="30" customHeight="1" x14ac:dyDescent="0.25">
      <c r="A31" s="10" t="s">
        <v>63</v>
      </c>
      <c r="B31" s="11">
        <v>139</v>
      </c>
      <c r="C31" s="11">
        <v>281</v>
      </c>
      <c r="D31" s="11">
        <v>-142</v>
      </c>
      <c r="E31" s="12"/>
      <c r="F31" s="12" t="s">
        <v>15</v>
      </c>
      <c r="G31" s="13" t="s">
        <v>129</v>
      </c>
    </row>
    <row r="32" spans="1:7" ht="30" customHeight="1" x14ac:dyDescent="0.25">
      <c r="A32" s="6" t="s">
        <v>65</v>
      </c>
      <c r="B32" s="7">
        <v>399</v>
      </c>
      <c r="C32" s="7">
        <v>473</v>
      </c>
      <c r="D32" s="7">
        <v>-74</v>
      </c>
      <c r="E32" s="8"/>
      <c r="F32" s="8" t="s">
        <v>15</v>
      </c>
      <c r="G32" s="9" t="s">
        <v>113</v>
      </c>
    </row>
    <row r="33" spans="1:7" ht="30" customHeight="1" x14ac:dyDescent="0.25">
      <c r="A33" s="10" t="s">
        <v>67</v>
      </c>
      <c r="B33" s="11">
        <v>384</v>
      </c>
      <c r="C33" s="11">
        <v>323</v>
      </c>
      <c r="D33" s="11">
        <v>61</v>
      </c>
      <c r="E33" s="12" t="s">
        <v>8</v>
      </c>
      <c r="F33" s="12"/>
      <c r="G33" s="13" t="s">
        <v>130</v>
      </c>
    </row>
    <row r="34" spans="1:7" ht="30" customHeight="1" x14ac:dyDescent="0.25">
      <c r="A34" s="6" t="s">
        <v>69</v>
      </c>
      <c r="B34" s="7">
        <v>224</v>
      </c>
      <c r="C34" s="7">
        <v>104</v>
      </c>
      <c r="D34" s="7">
        <v>120</v>
      </c>
      <c r="E34" s="8" t="s">
        <v>8</v>
      </c>
      <c r="F34" s="8"/>
      <c r="G34" s="9" t="s">
        <v>131</v>
      </c>
    </row>
    <row r="35" spans="1:7" ht="30" customHeight="1" x14ac:dyDescent="0.25">
      <c r="A35" s="10" t="s">
        <v>71</v>
      </c>
      <c r="B35" s="11">
        <v>931</v>
      </c>
      <c r="C35" s="11">
        <v>1445</v>
      </c>
      <c r="D35" s="11">
        <v>-514</v>
      </c>
      <c r="E35" s="12"/>
      <c r="F35" s="12" t="s">
        <v>15</v>
      </c>
      <c r="G35" s="13" t="s">
        <v>132</v>
      </c>
    </row>
    <row r="36" spans="1:7" ht="30" customHeight="1" x14ac:dyDescent="0.25">
      <c r="A36" s="6" t="s">
        <v>73</v>
      </c>
      <c r="B36" s="7">
        <v>182</v>
      </c>
      <c r="C36" s="7">
        <v>536</v>
      </c>
      <c r="D36" s="7">
        <v>-354</v>
      </c>
      <c r="E36" s="8"/>
      <c r="F36" s="8" t="s">
        <v>15</v>
      </c>
      <c r="G36" s="9" t="s">
        <v>34</v>
      </c>
    </row>
    <row r="37" spans="1:7" ht="30" customHeight="1" x14ac:dyDescent="0.25">
      <c r="A37" s="10" t="s">
        <v>75</v>
      </c>
      <c r="B37" s="11">
        <v>534</v>
      </c>
      <c r="C37" s="11">
        <v>443</v>
      </c>
      <c r="D37" s="11">
        <v>91</v>
      </c>
      <c r="E37" s="12" t="s">
        <v>8</v>
      </c>
      <c r="F37" s="12"/>
      <c r="G37" s="13" t="s">
        <v>20</v>
      </c>
    </row>
    <row r="38" spans="1:7" ht="30" customHeight="1" x14ac:dyDescent="0.25">
      <c r="A38" s="6" t="s">
        <v>77</v>
      </c>
      <c r="B38" s="7">
        <v>34</v>
      </c>
      <c r="C38" s="7">
        <v>166</v>
      </c>
      <c r="D38" s="7">
        <v>-132</v>
      </c>
      <c r="E38" s="8"/>
      <c r="F38" s="8" t="s">
        <v>15</v>
      </c>
      <c r="G38" s="9" t="s">
        <v>16</v>
      </c>
    </row>
    <row r="39" spans="1:7" ht="30" customHeight="1" x14ac:dyDescent="0.25">
      <c r="A39" s="10" t="s">
        <v>79</v>
      </c>
      <c r="B39" s="11">
        <v>24</v>
      </c>
      <c r="C39" s="11">
        <v>64</v>
      </c>
      <c r="D39" s="11">
        <v>-40</v>
      </c>
      <c r="E39" s="12"/>
      <c r="F39" s="12" t="s">
        <v>15</v>
      </c>
      <c r="G39" s="13" t="s">
        <v>133</v>
      </c>
    </row>
    <row r="40" spans="1:7" ht="30" customHeight="1" x14ac:dyDescent="0.25">
      <c r="A40" s="22" t="s">
        <v>81</v>
      </c>
      <c r="B40" s="23">
        <v>123</v>
      </c>
      <c r="C40" s="23">
        <v>146</v>
      </c>
      <c r="D40" s="23">
        <v>-23</v>
      </c>
      <c r="E40" s="24"/>
      <c r="F40" s="24" t="s">
        <v>15</v>
      </c>
      <c r="G40" s="25" t="s">
        <v>113</v>
      </c>
    </row>
    <row r="41" spans="1:7" ht="30" customHeight="1" x14ac:dyDescent="0.25">
      <c r="A41" s="26" t="s">
        <v>83</v>
      </c>
      <c r="B41" s="27">
        <v>5</v>
      </c>
      <c r="C41" s="27">
        <v>34</v>
      </c>
      <c r="D41" s="27">
        <v>-29</v>
      </c>
      <c r="E41" s="28"/>
      <c r="F41" s="28" t="s">
        <v>15</v>
      </c>
      <c r="G41" s="29" t="s">
        <v>134</v>
      </c>
    </row>
    <row r="42" spans="1:7" ht="30" customHeight="1" x14ac:dyDescent="0.25">
      <c r="A42" s="22" t="s">
        <v>85</v>
      </c>
      <c r="B42" s="23">
        <v>13</v>
      </c>
      <c r="C42" s="23">
        <v>36</v>
      </c>
      <c r="D42" s="23">
        <v>-23</v>
      </c>
      <c r="E42" s="24"/>
      <c r="F42" s="24" t="s">
        <v>15</v>
      </c>
      <c r="G42" s="25" t="s">
        <v>128</v>
      </c>
    </row>
    <row r="43" spans="1:7" ht="30" customHeight="1" x14ac:dyDescent="0.25">
      <c r="A43" s="26" t="s">
        <v>87</v>
      </c>
      <c r="B43" s="27">
        <v>201</v>
      </c>
      <c r="C43" s="27">
        <v>94</v>
      </c>
      <c r="D43" s="27">
        <v>107</v>
      </c>
      <c r="E43" s="28" t="s">
        <v>8</v>
      </c>
      <c r="F43" s="28"/>
      <c r="G43" s="29" t="s">
        <v>135</v>
      </c>
    </row>
    <row r="44" spans="1:7" ht="30" customHeight="1" x14ac:dyDescent="0.25">
      <c r="A44" s="6" t="s">
        <v>89</v>
      </c>
      <c r="B44" s="7">
        <v>62</v>
      </c>
      <c r="C44" s="7">
        <v>157</v>
      </c>
      <c r="D44" s="7">
        <v>-95</v>
      </c>
      <c r="E44" s="8"/>
      <c r="F44" s="8" t="s">
        <v>15</v>
      </c>
      <c r="G44" s="9" t="s">
        <v>136</v>
      </c>
    </row>
    <row r="45" spans="1:7" ht="30" customHeight="1" x14ac:dyDescent="0.25">
      <c r="A45" s="10" t="s">
        <v>91</v>
      </c>
      <c r="B45" s="11">
        <v>497</v>
      </c>
      <c r="C45" s="11">
        <v>656</v>
      </c>
      <c r="D45" s="11">
        <v>-159</v>
      </c>
      <c r="E45" s="12"/>
      <c r="F45" s="12" t="s">
        <v>15</v>
      </c>
      <c r="G45" s="13" t="s">
        <v>137</v>
      </c>
    </row>
    <row r="46" spans="1:7" ht="30" customHeight="1" x14ac:dyDescent="0.25">
      <c r="A46" s="6" t="s">
        <v>92</v>
      </c>
      <c r="B46" s="7">
        <v>821</v>
      </c>
      <c r="C46" s="7">
        <v>803</v>
      </c>
      <c r="D46" s="7">
        <v>18</v>
      </c>
      <c r="E46" s="8" t="s">
        <v>8</v>
      </c>
      <c r="F46" s="8"/>
      <c r="G46" s="9" t="s">
        <v>138</v>
      </c>
    </row>
    <row r="47" spans="1:7" ht="30" customHeight="1" x14ac:dyDescent="0.25">
      <c r="A47" s="10" t="s">
        <v>94</v>
      </c>
      <c r="B47" s="11">
        <v>217</v>
      </c>
      <c r="C47" s="11">
        <v>557</v>
      </c>
      <c r="D47" s="11">
        <v>-340</v>
      </c>
      <c r="E47" s="12"/>
      <c r="F47" s="12" t="s">
        <v>15</v>
      </c>
      <c r="G47" s="13" t="s">
        <v>136</v>
      </c>
    </row>
    <row r="48" spans="1:7" ht="30" customHeight="1" x14ac:dyDescent="0.25">
      <c r="A48" s="6" t="s">
        <v>95</v>
      </c>
      <c r="B48" s="7">
        <v>483</v>
      </c>
      <c r="C48" s="7">
        <v>281</v>
      </c>
      <c r="D48" s="7">
        <v>202</v>
      </c>
      <c r="E48" s="8" t="s">
        <v>8</v>
      </c>
      <c r="F48" s="8"/>
      <c r="G48" s="9" t="s">
        <v>139</v>
      </c>
    </row>
    <row r="49" spans="1:7" ht="30" customHeight="1" x14ac:dyDescent="0.25">
      <c r="A49" s="10" t="s">
        <v>97</v>
      </c>
      <c r="B49" s="11">
        <v>829</v>
      </c>
      <c r="C49" s="11">
        <v>541</v>
      </c>
      <c r="D49" s="11">
        <v>288</v>
      </c>
      <c r="E49" s="12" t="s">
        <v>8</v>
      </c>
      <c r="F49" s="12"/>
      <c r="G49" s="13" t="s">
        <v>140</v>
      </c>
    </row>
    <row r="50" spans="1:7" ht="30" customHeight="1" x14ac:dyDescent="0.25">
      <c r="A50" s="6" t="s">
        <v>99</v>
      </c>
      <c r="B50" s="7">
        <v>105</v>
      </c>
      <c r="C50" s="7">
        <v>197</v>
      </c>
      <c r="D50" s="7">
        <v>-92</v>
      </c>
      <c r="E50" s="8"/>
      <c r="F50" s="8" t="s">
        <v>15</v>
      </c>
      <c r="G50" s="9" t="s">
        <v>141</v>
      </c>
    </row>
    <row r="51" spans="1:7" ht="30" customHeight="1" x14ac:dyDescent="0.25">
      <c r="A51" s="10" t="s">
        <v>101</v>
      </c>
      <c r="B51" s="11">
        <v>478</v>
      </c>
      <c r="C51" s="11">
        <v>355</v>
      </c>
      <c r="D51" s="11">
        <v>123</v>
      </c>
      <c r="E51" s="12" t="s">
        <v>8</v>
      </c>
      <c r="F51" s="12"/>
      <c r="G51" s="13" t="s">
        <v>142</v>
      </c>
    </row>
    <row r="52" spans="1:7" ht="30" customHeight="1" x14ac:dyDescent="0.25">
      <c r="A52" s="6" t="s">
        <v>103</v>
      </c>
      <c r="B52" s="7">
        <v>188</v>
      </c>
      <c r="C52" s="7">
        <v>184</v>
      </c>
      <c r="D52" s="7">
        <v>4</v>
      </c>
      <c r="E52" s="8" t="s">
        <v>8</v>
      </c>
      <c r="F52" s="8"/>
      <c r="G52" s="9" t="s">
        <v>138</v>
      </c>
    </row>
    <row r="53" spans="1:7" ht="30" customHeight="1" x14ac:dyDescent="0.25">
      <c r="A53" s="10" t="s">
        <v>105</v>
      </c>
      <c r="B53" s="11">
        <v>33</v>
      </c>
      <c r="C53" s="11">
        <v>274</v>
      </c>
      <c r="D53" s="11">
        <v>-241</v>
      </c>
      <c r="E53" s="12"/>
      <c r="F53" s="12" t="s">
        <v>15</v>
      </c>
      <c r="G53" s="13" t="s">
        <v>143</v>
      </c>
    </row>
    <row r="54" spans="1:7" ht="30" customHeight="1" x14ac:dyDescent="0.25">
      <c r="A54" s="30" t="s">
        <v>107</v>
      </c>
      <c r="B54" s="31">
        <v>438</v>
      </c>
      <c r="C54" s="31">
        <v>238</v>
      </c>
      <c r="D54" s="31">
        <v>200</v>
      </c>
      <c r="E54" s="32" t="s">
        <v>8</v>
      </c>
      <c r="F54" s="32"/>
      <c r="G54" s="33" t="s">
        <v>144</v>
      </c>
    </row>
  </sheetData>
  <autoFilter ref="A1:G54" xr:uid="{00000000-0009-0000-0000-000001000000}"/>
  <conditionalFormatting sqref="E2">
    <cfRule type="expression" dxfId="81" priority="7">
      <formula>"D2&gt;0"</formula>
    </cfRule>
  </conditionalFormatting>
  <conditionalFormatting sqref="E2:E37 E40:E54">
    <cfRule type="containsText" dxfId="80" priority="6" operator="containsText" text="We borrowerd more than we lent">
      <formula>NOT(ISERROR(SEARCH("We borrowerd more than we lent",E2)))</formula>
    </cfRule>
  </conditionalFormatting>
  <conditionalFormatting sqref="F2:F37 F40:F54">
    <cfRule type="containsText" dxfId="79" priority="5" operator="containsText" text="We lent more than we borrowed">
      <formula>NOT(ISERROR(SEARCH("We lent more than we borrowed",F2)))</formula>
    </cfRule>
  </conditionalFormatting>
  <conditionalFormatting sqref="E38">
    <cfRule type="containsText" dxfId="78" priority="4" operator="containsText" text="We borrowerd more than we lent">
      <formula>NOT(ISERROR(SEARCH("We borrowerd more than we lent",E38)))</formula>
    </cfRule>
  </conditionalFormatting>
  <conditionalFormatting sqref="F38">
    <cfRule type="containsText" dxfId="77" priority="3" operator="containsText" text="We lent more than we borrowed">
      <formula>NOT(ISERROR(SEARCH("We lent more than we borrowed",F38)))</formula>
    </cfRule>
  </conditionalFormatting>
  <conditionalFormatting sqref="E39">
    <cfRule type="containsText" dxfId="76" priority="2" operator="containsText" text="We borrowerd more than we lent">
      <formula>NOT(ISERROR(SEARCH("We borrowerd more than we lent",E39)))</formula>
    </cfRule>
  </conditionalFormatting>
  <conditionalFormatting sqref="F39">
    <cfRule type="containsText" dxfId="75" priority="1" operator="containsText" text="We lent more than we borrowed">
      <formula>NOT(ISERROR(SEARCH("We lent more than we borrowed",F39)))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G54"/>
  <sheetViews>
    <sheetView zoomScale="85" zoomScaleNormal="85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ColWidth="9.140625" defaultRowHeight="15" x14ac:dyDescent="0.25"/>
  <cols>
    <col min="1" max="1" width="45.7109375" customWidth="1"/>
    <col min="2" max="3" width="30.7109375" customWidth="1"/>
    <col min="4" max="4" width="20.7109375" customWidth="1"/>
    <col min="5" max="6" width="25.7109375" style="34" customWidth="1"/>
    <col min="7" max="7" width="28.7109375" customWidth="1"/>
  </cols>
  <sheetData>
    <row r="1" spans="1:7" s="5" customFormat="1" ht="30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4" t="s">
        <v>6</v>
      </c>
    </row>
    <row r="2" spans="1:7" ht="30" customHeight="1" x14ac:dyDescent="0.25">
      <c r="A2" s="6" t="s">
        <v>7</v>
      </c>
      <c r="B2" s="7">
        <v>1596</v>
      </c>
      <c r="C2" s="7">
        <v>1263</v>
      </c>
      <c r="D2" s="7">
        <v>333</v>
      </c>
      <c r="E2" s="8" t="s">
        <v>8</v>
      </c>
      <c r="F2" s="8"/>
      <c r="G2" s="9" t="s">
        <v>145</v>
      </c>
    </row>
    <row r="3" spans="1:7" ht="30" customHeight="1" x14ac:dyDescent="0.25">
      <c r="A3" s="10" t="s">
        <v>10</v>
      </c>
      <c r="B3" s="11">
        <v>650</v>
      </c>
      <c r="C3" s="11">
        <v>449</v>
      </c>
      <c r="D3" s="11">
        <v>201</v>
      </c>
      <c r="E3" s="12" t="s">
        <v>8</v>
      </c>
      <c r="F3" s="12"/>
      <c r="G3" s="13" t="s">
        <v>108</v>
      </c>
    </row>
    <row r="4" spans="1:7" ht="30" customHeight="1" x14ac:dyDescent="0.25">
      <c r="A4" s="6" t="s">
        <v>12</v>
      </c>
      <c r="B4" s="7">
        <v>1313</v>
      </c>
      <c r="C4" s="7">
        <v>1120</v>
      </c>
      <c r="D4" s="7">
        <v>193</v>
      </c>
      <c r="E4" s="8" t="s">
        <v>8</v>
      </c>
      <c r="F4" s="8"/>
      <c r="G4" s="9" t="s">
        <v>84</v>
      </c>
    </row>
    <row r="5" spans="1:7" ht="30" customHeight="1" x14ac:dyDescent="0.25">
      <c r="A5" s="10" t="s">
        <v>14</v>
      </c>
      <c r="B5" s="11">
        <v>12</v>
      </c>
      <c r="C5" s="11">
        <v>113</v>
      </c>
      <c r="D5" s="11">
        <v>-101</v>
      </c>
      <c r="E5" s="12"/>
      <c r="F5" s="12" t="s">
        <v>15</v>
      </c>
      <c r="G5" s="13" t="s">
        <v>146</v>
      </c>
    </row>
    <row r="6" spans="1:7" ht="30" customHeight="1" x14ac:dyDescent="0.25">
      <c r="A6" s="6" t="s">
        <v>17</v>
      </c>
      <c r="B6" s="7">
        <v>1061</v>
      </c>
      <c r="C6" s="7">
        <v>1170</v>
      </c>
      <c r="D6" s="7">
        <v>-109</v>
      </c>
      <c r="E6" s="8"/>
      <c r="F6" s="8" t="s">
        <v>15</v>
      </c>
      <c r="G6" s="9" t="s">
        <v>82</v>
      </c>
    </row>
    <row r="7" spans="1:7" ht="30" customHeight="1" x14ac:dyDescent="0.25">
      <c r="A7" s="10" t="s">
        <v>19</v>
      </c>
      <c r="B7" s="11">
        <v>228</v>
      </c>
      <c r="C7" s="11">
        <v>188</v>
      </c>
      <c r="D7" s="11">
        <v>40</v>
      </c>
      <c r="E7" s="12" t="s">
        <v>8</v>
      </c>
      <c r="F7" s="12"/>
      <c r="G7" s="13" t="s">
        <v>20</v>
      </c>
    </row>
    <row r="8" spans="1:7" ht="30" customHeight="1" x14ac:dyDescent="0.25">
      <c r="A8" s="6" t="s">
        <v>21</v>
      </c>
      <c r="B8" s="7">
        <v>144</v>
      </c>
      <c r="C8" s="7">
        <v>165</v>
      </c>
      <c r="D8" s="7">
        <v>-21</v>
      </c>
      <c r="E8" s="8"/>
      <c r="F8" s="8" t="s">
        <v>15</v>
      </c>
      <c r="G8" s="9" t="s">
        <v>147</v>
      </c>
    </row>
    <row r="9" spans="1:7" ht="30" customHeight="1" x14ac:dyDescent="0.25">
      <c r="A9" s="10" t="s">
        <v>23</v>
      </c>
      <c r="B9" s="11">
        <v>45</v>
      </c>
      <c r="C9" s="11">
        <v>47</v>
      </c>
      <c r="D9" s="11">
        <v>-2</v>
      </c>
      <c r="E9" s="12"/>
      <c r="F9" s="12" t="s">
        <v>15</v>
      </c>
      <c r="G9" s="13" t="s">
        <v>148</v>
      </c>
    </row>
    <row r="10" spans="1:7" ht="30" customHeight="1" x14ac:dyDescent="0.25">
      <c r="A10" s="6" t="s">
        <v>24</v>
      </c>
      <c r="B10" s="7">
        <v>0</v>
      </c>
      <c r="C10" s="7">
        <v>26</v>
      </c>
      <c r="D10" s="7">
        <v>-26</v>
      </c>
      <c r="E10" s="8"/>
      <c r="F10" s="8" t="s">
        <v>15</v>
      </c>
      <c r="G10" s="9" t="s">
        <v>25</v>
      </c>
    </row>
    <row r="11" spans="1:7" ht="30" customHeight="1" x14ac:dyDescent="0.25">
      <c r="A11" s="10" t="s">
        <v>26</v>
      </c>
      <c r="B11" s="11">
        <v>0</v>
      </c>
      <c r="C11" s="11">
        <v>0</v>
      </c>
      <c r="D11" s="11">
        <v>0</v>
      </c>
      <c r="E11" s="12"/>
      <c r="F11" s="12"/>
      <c r="G11" s="13"/>
    </row>
    <row r="12" spans="1:7" ht="30" customHeight="1" x14ac:dyDescent="0.25">
      <c r="A12" s="14" t="s">
        <v>27</v>
      </c>
      <c r="B12" s="15">
        <v>3</v>
      </c>
      <c r="C12" s="15">
        <v>22</v>
      </c>
      <c r="D12" s="15">
        <v>-19</v>
      </c>
      <c r="E12" s="16"/>
      <c r="F12" s="16" t="s">
        <v>15</v>
      </c>
      <c r="G12" s="17" t="s">
        <v>149</v>
      </c>
    </row>
    <row r="13" spans="1:7" ht="30" customHeight="1" x14ac:dyDescent="0.25">
      <c r="A13" s="18" t="s">
        <v>29</v>
      </c>
      <c r="B13" s="19">
        <v>69</v>
      </c>
      <c r="C13" s="19">
        <v>58</v>
      </c>
      <c r="D13" s="19">
        <v>11</v>
      </c>
      <c r="E13" s="20" t="s">
        <v>8</v>
      </c>
      <c r="F13" s="20"/>
      <c r="G13" s="21" t="s">
        <v>130</v>
      </c>
    </row>
    <row r="14" spans="1:7" ht="30" customHeight="1" x14ac:dyDescent="0.25">
      <c r="A14" s="14" t="s">
        <v>31</v>
      </c>
      <c r="B14" s="15">
        <v>137</v>
      </c>
      <c r="C14" s="15">
        <v>334</v>
      </c>
      <c r="D14" s="15">
        <v>-197</v>
      </c>
      <c r="E14" s="16"/>
      <c r="F14" s="16" t="s">
        <v>15</v>
      </c>
      <c r="G14" s="17" t="s">
        <v>90</v>
      </c>
    </row>
    <row r="15" spans="1:7" ht="30" customHeight="1" x14ac:dyDescent="0.25">
      <c r="A15" s="18" t="s">
        <v>33</v>
      </c>
      <c r="B15" s="19">
        <v>51</v>
      </c>
      <c r="C15" s="19">
        <v>135</v>
      </c>
      <c r="D15" s="19">
        <v>-84</v>
      </c>
      <c r="E15" s="20"/>
      <c r="F15" s="20" t="s">
        <v>15</v>
      </c>
      <c r="G15" s="21" t="s">
        <v>133</v>
      </c>
    </row>
    <row r="16" spans="1:7" ht="30" customHeight="1" x14ac:dyDescent="0.25">
      <c r="A16" s="6" t="s">
        <v>35</v>
      </c>
      <c r="B16" s="7">
        <v>53</v>
      </c>
      <c r="C16" s="7">
        <v>229</v>
      </c>
      <c r="D16" s="7">
        <v>-176</v>
      </c>
      <c r="E16" s="8"/>
      <c r="F16" s="8" t="s">
        <v>15</v>
      </c>
      <c r="G16" s="9" t="s">
        <v>80</v>
      </c>
    </row>
    <row r="17" spans="1:7" ht="30" customHeight="1" x14ac:dyDescent="0.25">
      <c r="A17" s="10" t="s">
        <v>37</v>
      </c>
      <c r="B17" s="11">
        <v>696</v>
      </c>
      <c r="C17" s="11">
        <v>429</v>
      </c>
      <c r="D17" s="11">
        <v>267</v>
      </c>
      <c r="E17" s="12" t="s">
        <v>8</v>
      </c>
      <c r="F17" s="12"/>
      <c r="G17" s="13" t="s">
        <v>60</v>
      </c>
    </row>
    <row r="18" spans="1:7" ht="30" customHeight="1" x14ac:dyDescent="0.25">
      <c r="A18" s="6" t="s">
        <v>38</v>
      </c>
      <c r="B18" s="7">
        <v>73</v>
      </c>
      <c r="C18" s="7">
        <v>71</v>
      </c>
      <c r="D18" s="7">
        <v>2</v>
      </c>
      <c r="E18" s="8" t="s">
        <v>8</v>
      </c>
      <c r="F18" s="8"/>
      <c r="G18" s="9" t="s">
        <v>18</v>
      </c>
    </row>
    <row r="19" spans="1:7" ht="30" customHeight="1" x14ac:dyDescent="0.25">
      <c r="A19" s="10" t="s">
        <v>40</v>
      </c>
      <c r="B19" s="11">
        <v>580</v>
      </c>
      <c r="C19" s="11">
        <v>348</v>
      </c>
      <c r="D19" s="11">
        <v>232</v>
      </c>
      <c r="E19" s="12" t="s">
        <v>8</v>
      </c>
      <c r="F19" s="12"/>
      <c r="G19" s="13" t="s">
        <v>150</v>
      </c>
    </row>
    <row r="20" spans="1:7" ht="30" customHeight="1" x14ac:dyDescent="0.25">
      <c r="A20" s="6" t="s">
        <v>42</v>
      </c>
      <c r="B20" s="7">
        <v>0</v>
      </c>
      <c r="C20" s="7">
        <v>55</v>
      </c>
      <c r="D20" s="7">
        <v>-55</v>
      </c>
      <c r="E20" s="8"/>
      <c r="F20" s="8" t="s">
        <v>15</v>
      </c>
      <c r="G20" s="9" t="s">
        <v>25</v>
      </c>
    </row>
    <row r="21" spans="1:7" ht="30" customHeight="1" x14ac:dyDescent="0.25">
      <c r="A21" s="10" t="s">
        <v>44</v>
      </c>
      <c r="B21" s="11">
        <v>563</v>
      </c>
      <c r="C21" s="11">
        <v>426</v>
      </c>
      <c r="D21" s="11">
        <v>137</v>
      </c>
      <c r="E21" s="12" t="s">
        <v>8</v>
      </c>
      <c r="F21" s="12"/>
      <c r="G21" s="13" t="s">
        <v>151</v>
      </c>
    </row>
    <row r="22" spans="1:7" ht="30" customHeight="1" x14ac:dyDescent="0.25">
      <c r="A22" s="6" t="s">
        <v>46</v>
      </c>
      <c r="B22" s="7">
        <v>68</v>
      </c>
      <c r="C22" s="7">
        <v>240</v>
      </c>
      <c r="D22" s="7">
        <v>-172</v>
      </c>
      <c r="E22" s="8"/>
      <c r="F22" s="8" t="s">
        <v>15</v>
      </c>
      <c r="G22" s="9" t="s">
        <v>74</v>
      </c>
    </row>
    <row r="23" spans="1:7" ht="30" customHeight="1" x14ac:dyDescent="0.25">
      <c r="A23" s="10" t="s">
        <v>48</v>
      </c>
      <c r="B23" s="11">
        <v>860</v>
      </c>
      <c r="C23" s="11">
        <v>625</v>
      </c>
      <c r="D23" s="11">
        <v>235</v>
      </c>
      <c r="E23" s="12" t="s">
        <v>8</v>
      </c>
      <c r="F23" s="12"/>
      <c r="G23" s="13" t="s">
        <v>93</v>
      </c>
    </row>
    <row r="24" spans="1:7" ht="30" customHeight="1" x14ac:dyDescent="0.25">
      <c r="A24" s="6" t="s">
        <v>50</v>
      </c>
      <c r="B24" s="7">
        <v>1774</v>
      </c>
      <c r="C24" s="7">
        <v>1537</v>
      </c>
      <c r="D24" s="7">
        <v>237</v>
      </c>
      <c r="E24" s="8" t="s">
        <v>8</v>
      </c>
      <c r="F24" s="8"/>
      <c r="G24" s="9" t="s">
        <v>114</v>
      </c>
    </row>
    <row r="25" spans="1:7" ht="30" customHeight="1" x14ac:dyDescent="0.25">
      <c r="A25" s="10" t="s">
        <v>52</v>
      </c>
      <c r="B25" s="11">
        <v>117</v>
      </c>
      <c r="C25" s="11">
        <v>354</v>
      </c>
      <c r="D25" s="11">
        <v>-237</v>
      </c>
      <c r="E25" s="12"/>
      <c r="F25" s="12" t="s">
        <v>15</v>
      </c>
      <c r="G25" s="13" t="s">
        <v>152</v>
      </c>
    </row>
    <row r="26" spans="1:7" ht="30" customHeight="1" x14ac:dyDescent="0.25">
      <c r="A26" s="6" t="s">
        <v>54</v>
      </c>
      <c r="B26" s="7">
        <v>0</v>
      </c>
      <c r="C26" s="7">
        <v>0</v>
      </c>
      <c r="D26" s="7">
        <v>0</v>
      </c>
      <c r="E26" s="8"/>
      <c r="F26" s="8"/>
      <c r="G26" s="9"/>
    </row>
    <row r="27" spans="1:7" ht="30" customHeight="1" x14ac:dyDescent="0.25">
      <c r="A27" s="10" t="s">
        <v>55</v>
      </c>
      <c r="B27" s="11">
        <v>169</v>
      </c>
      <c r="C27" s="11">
        <v>182</v>
      </c>
      <c r="D27" s="11">
        <v>-13</v>
      </c>
      <c r="E27" s="12"/>
      <c r="F27" s="12" t="s">
        <v>15</v>
      </c>
      <c r="G27" s="13" t="s">
        <v>153</v>
      </c>
    </row>
    <row r="28" spans="1:7" ht="30" customHeight="1" x14ac:dyDescent="0.25">
      <c r="A28" s="6" t="s">
        <v>57</v>
      </c>
      <c r="B28" s="7">
        <v>153</v>
      </c>
      <c r="C28" s="7">
        <v>138</v>
      </c>
      <c r="D28" s="7">
        <v>15</v>
      </c>
      <c r="E28" s="8" t="s">
        <v>8</v>
      </c>
      <c r="F28" s="8"/>
      <c r="G28" s="9" t="s">
        <v>9</v>
      </c>
    </row>
    <row r="29" spans="1:7" ht="30" customHeight="1" x14ac:dyDescent="0.25">
      <c r="A29" s="10" t="s">
        <v>59</v>
      </c>
      <c r="B29" s="11">
        <v>800</v>
      </c>
      <c r="C29" s="11">
        <v>491</v>
      </c>
      <c r="D29" s="11">
        <v>309</v>
      </c>
      <c r="E29" s="12" t="s">
        <v>8</v>
      </c>
      <c r="F29" s="12"/>
      <c r="G29" s="13" t="s">
        <v>154</v>
      </c>
    </row>
    <row r="30" spans="1:7" ht="30" customHeight="1" x14ac:dyDescent="0.25">
      <c r="A30" s="6" t="s">
        <v>61</v>
      </c>
      <c r="B30" s="7">
        <v>27</v>
      </c>
      <c r="C30" s="7">
        <v>15</v>
      </c>
      <c r="D30" s="7">
        <v>12</v>
      </c>
      <c r="E30" s="8" t="s">
        <v>8</v>
      </c>
      <c r="F30" s="8"/>
      <c r="G30" s="9" t="s">
        <v>127</v>
      </c>
    </row>
    <row r="31" spans="1:7" ht="30" customHeight="1" x14ac:dyDescent="0.25">
      <c r="A31" s="10" t="s">
        <v>63</v>
      </c>
      <c r="B31" s="11">
        <v>146</v>
      </c>
      <c r="C31" s="11">
        <v>285</v>
      </c>
      <c r="D31" s="11">
        <v>-139</v>
      </c>
      <c r="E31" s="12"/>
      <c r="F31" s="12" t="s">
        <v>15</v>
      </c>
      <c r="G31" s="13" t="s">
        <v>155</v>
      </c>
    </row>
    <row r="32" spans="1:7" ht="30" customHeight="1" x14ac:dyDescent="0.25">
      <c r="A32" s="6" t="s">
        <v>65</v>
      </c>
      <c r="B32" s="7">
        <v>429</v>
      </c>
      <c r="C32" s="7">
        <v>609</v>
      </c>
      <c r="D32" s="7">
        <v>-180</v>
      </c>
      <c r="E32" s="8"/>
      <c r="F32" s="8" t="s">
        <v>15</v>
      </c>
      <c r="G32" s="9" t="s">
        <v>156</v>
      </c>
    </row>
    <row r="33" spans="1:7" ht="30" customHeight="1" x14ac:dyDescent="0.25">
      <c r="A33" s="10" t="s">
        <v>67</v>
      </c>
      <c r="B33" s="11">
        <v>386</v>
      </c>
      <c r="C33" s="11">
        <v>316</v>
      </c>
      <c r="D33" s="11">
        <v>70</v>
      </c>
      <c r="E33" s="12" t="s">
        <v>8</v>
      </c>
      <c r="F33" s="12"/>
      <c r="G33" s="13" t="s">
        <v>157</v>
      </c>
    </row>
    <row r="34" spans="1:7" ht="30" customHeight="1" x14ac:dyDescent="0.25">
      <c r="A34" s="6" t="s">
        <v>69</v>
      </c>
      <c r="B34" s="7">
        <v>149</v>
      </c>
      <c r="C34" s="7">
        <v>157</v>
      </c>
      <c r="D34" s="7">
        <v>-8</v>
      </c>
      <c r="E34" s="8"/>
      <c r="F34" s="8" t="s">
        <v>15</v>
      </c>
      <c r="G34" s="9" t="s">
        <v>39</v>
      </c>
    </row>
    <row r="35" spans="1:7" ht="30" customHeight="1" x14ac:dyDescent="0.25">
      <c r="A35" s="10" t="s">
        <v>71</v>
      </c>
      <c r="B35" s="11">
        <v>1059</v>
      </c>
      <c r="C35" s="11">
        <v>1616</v>
      </c>
      <c r="D35" s="11">
        <v>-557</v>
      </c>
      <c r="E35" s="12"/>
      <c r="F35" s="12" t="s">
        <v>15</v>
      </c>
      <c r="G35" s="13" t="s">
        <v>158</v>
      </c>
    </row>
    <row r="36" spans="1:7" ht="30" customHeight="1" x14ac:dyDescent="0.25">
      <c r="A36" s="6" t="s">
        <v>73</v>
      </c>
      <c r="B36" s="7">
        <v>153</v>
      </c>
      <c r="C36" s="7">
        <v>570</v>
      </c>
      <c r="D36" s="7">
        <v>-417</v>
      </c>
      <c r="E36" s="8"/>
      <c r="F36" s="8" t="s">
        <v>15</v>
      </c>
      <c r="G36" s="9" t="s">
        <v>104</v>
      </c>
    </row>
    <row r="37" spans="1:7" ht="30" customHeight="1" x14ac:dyDescent="0.25">
      <c r="A37" s="10" t="s">
        <v>75</v>
      </c>
      <c r="B37" s="11">
        <v>682</v>
      </c>
      <c r="C37" s="11">
        <v>465</v>
      </c>
      <c r="D37" s="11">
        <v>217</v>
      </c>
      <c r="E37" s="12" t="s">
        <v>8</v>
      </c>
      <c r="F37" s="12"/>
      <c r="G37" s="13" t="s">
        <v>159</v>
      </c>
    </row>
    <row r="38" spans="1:7" ht="30" customHeight="1" x14ac:dyDescent="0.25">
      <c r="A38" s="6" t="s">
        <v>77</v>
      </c>
      <c r="B38" s="7">
        <v>33</v>
      </c>
      <c r="C38" s="7">
        <v>226</v>
      </c>
      <c r="D38" s="7">
        <v>-193</v>
      </c>
      <c r="E38" s="8"/>
      <c r="F38" s="8" t="s">
        <v>15</v>
      </c>
      <c r="G38" s="9" t="s">
        <v>134</v>
      </c>
    </row>
    <row r="39" spans="1:7" ht="30" customHeight="1" x14ac:dyDescent="0.25">
      <c r="A39" s="10" t="s">
        <v>79</v>
      </c>
      <c r="B39" s="11">
        <v>31</v>
      </c>
      <c r="C39" s="11">
        <v>103</v>
      </c>
      <c r="D39" s="11">
        <v>-72</v>
      </c>
      <c r="E39" s="12"/>
      <c r="F39" s="12" t="s">
        <v>15</v>
      </c>
      <c r="G39" s="13" t="s">
        <v>160</v>
      </c>
    </row>
    <row r="40" spans="1:7" ht="30" customHeight="1" x14ac:dyDescent="0.25">
      <c r="A40" s="22" t="s">
        <v>81</v>
      </c>
      <c r="B40" s="23">
        <v>137</v>
      </c>
      <c r="C40" s="23">
        <v>142</v>
      </c>
      <c r="D40" s="23">
        <v>-5</v>
      </c>
      <c r="E40" s="24"/>
      <c r="F40" s="24" t="s">
        <v>15</v>
      </c>
      <c r="G40" s="25" t="s">
        <v>148</v>
      </c>
    </row>
    <row r="41" spans="1:7" ht="30" customHeight="1" x14ac:dyDescent="0.25">
      <c r="A41" s="26" t="s">
        <v>83</v>
      </c>
      <c r="B41" s="27">
        <v>6</v>
      </c>
      <c r="C41" s="27">
        <v>30</v>
      </c>
      <c r="D41" s="27">
        <v>-24</v>
      </c>
      <c r="E41" s="28"/>
      <c r="F41" s="28" t="s">
        <v>15</v>
      </c>
      <c r="G41" s="29" t="s">
        <v>16</v>
      </c>
    </row>
    <row r="42" spans="1:7" ht="30" customHeight="1" x14ac:dyDescent="0.25">
      <c r="A42" s="22" t="s">
        <v>85</v>
      </c>
      <c r="B42" s="23">
        <v>9</v>
      </c>
      <c r="C42" s="23">
        <v>34</v>
      </c>
      <c r="D42" s="23">
        <v>-25</v>
      </c>
      <c r="E42" s="24"/>
      <c r="F42" s="24" t="s">
        <v>15</v>
      </c>
      <c r="G42" s="25" t="s">
        <v>161</v>
      </c>
    </row>
    <row r="43" spans="1:7" ht="30" customHeight="1" x14ac:dyDescent="0.25">
      <c r="A43" s="26" t="s">
        <v>87</v>
      </c>
      <c r="B43" s="27">
        <v>117</v>
      </c>
      <c r="C43" s="27">
        <v>113</v>
      </c>
      <c r="D43" s="27">
        <v>4</v>
      </c>
      <c r="E43" s="28" t="s">
        <v>8</v>
      </c>
      <c r="F43" s="28"/>
      <c r="G43" s="29" t="s">
        <v>162</v>
      </c>
    </row>
    <row r="44" spans="1:7" ht="30" customHeight="1" x14ac:dyDescent="0.25">
      <c r="A44" s="6" t="s">
        <v>89</v>
      </c>
      <c r="B44" s="7">
        <v>51</v>
      </c>
      <c r="C44" s="7">
        <v>209</v>
      </c>
      <c r="D44" s="7">
        <v>-158</v>
      </c>
      <c r="E44" s="8"/>
      <c r="F44" s="8" t="s">
        <v>15</v>
      </c>
      <c r="G44" s="9" t="s">
        <v>163</v>
      </c>
    </row>
    <row r="45" spans="1:7" ht="30" customHeight="1" x14ac:dyDescent="0.25">
      <c r="A45" s="10" t="s">
        <v>91</v>
      </c>
      <c r="B45" s="11">
        <v>534</v>
      </c>
      <c r="C45" s="11">
        <v>679</v>
      </c>
      <c r="D45" s="11">
        <v>-145</v>
      </c>
      <c r="E45" s="12"/>
      <c r="F45" s="12" t="s">
        <v>15</v>
      </c>
      <c r="G45" s="13" t="s">
        <v>164</v>
      </c>
    </row>
    <row r="46" spans="1:7" ht="30" customHeight="1" x14ac:dyDescent="0.25">
      <c r="A46" s="6" t="s">
        <v>92</v>
      </c>
      <c r="B46" s="7">
        <v>973</v>
      </c>
      <c r="C46" s="7">
        <v>761</v>
      </c>
      <c r="D46" s="7">
        <v>212</v>
      </c>
      <c r="E46" s="8" t="s">
        <v>8</v>
      </c>
      <c r="F46" s="8"/>
      <c r="G46" s="9" t="s">
        <v>96</v>
      </c>
    </row>
    <row r="47" spans="1:7" ht="30" customHeight="1" x14ac:dyDescent="0.25">
      <c r="A47" s="10" t="s">
        <v>94</v>
      </c>
      <c r="B47" s="11">
        <v>295</v>
      </c>
      <c r="C47" s="11">
        <v>593</v>
      </c>
      <c r="D47" s="11">
        <v>-298</v>
      </c>
      <c r="E47" s="12"/>
      <c r="F47" s="12" t="s">
        <v>15</v>
      </c>
      <c r="G47" s="13" t="s">
        <v>165</v>
      </c>
    </row>
    <row r="48" spans="1:7" ht="30" customHeight="1" x14ac:dyDescent="0.25">
      <c r="A48" s="6" t="s">
        <v>95</v>
      </c>
      <c r="B48" s="7">
        <v>557</v>
      </c>
      <c r="C48" s="7">
        <v>280</v>
      </c>
      <c r="D48" s="7">
        <v>277</v>
      </c>
      <c r="E48" s="8" t="s">
        <v>8</v>
      </c>
      <c r="F48" s="8"/>
      <c r="G48" s="9" t="s">
        <v>166</v>
      </c>
    </row>
    <row r="49" spans="1:7" ht="30" customHeight="1" x14ac:dyDescent="0.25">
      <c r="A49" s="10" t="s">
        <v>97</v>
      </c>
      <c r="B49" s="11">
        <v>1049</v>
      </c>
      <c r="C49" s="11">
        <v>582</v>
      </c>
      <c r="D49" s="11">
        <v>467</v>
      </c>
      <c r="E49" s="12" t="s">
        <v>8</v>
      </c>
      <c r="F49" s="12"/>
      <c r="G49" s="13" t="s">
        <v>127</v>
      </c>
    </row>
    <row r="50" spans="1:7" ht="30" customHeight="1" x14ac:dyDescent="0.25">
      <c r="A50" s="6" t="s">
        <v>99</v>
      </c>
      <c r="B50" s="7">
        <v>143</v>
      </c>
      <c r="C50" s="7">
        <v>171</v>
      </c>
      <c r="D50" s="7">
        <v>-28</v>
      </c>
      <c r="E50" s="8"/>
      <c r="F50" s="8" t="s">
        <v>15</v>
      </c>
      <c r="G50" s="9" t="s">
        <v>113</v>
      </c>
    </row>
    <row r="51" spans="1:7" ht="30" customHeight="1" x14ac:dyDescent="0.25">
      <c r="A51" s="10" t="s">
        <v>101</v>
      </c>
      <c r="B51" s="11">
        <v>499</v>
      </c>
      <c r="C51" s="11">
        <v>414</v>
      </c>
      <c r="D51" s="11">
        <v>85</v>
      </c>
      <c r="E51" s="12" t="s">
        <v>8</v>
      </c>
      <c r="F51" s="12"/>
      <c r="G51" s="13" t="s">
        <v>20</v>
      </c>
    </row>
    <row r="52" spans="1:7" ht="30" customHeight="1" x14ac:dyDescent="0.25">
      <c r="A52" s="6" t="s">
        <v>103</v>
      </c>
      <c r="B52" s="7">
        <v>161</v>
      </c>
      <c r="C52" s="7">
        <v>266</v>
      </c>
      <c r="D52" s="7">
        <v>-105</v>
      </c>
      <c r="E52" s="8"/>
      <c r="F52" s="8" t="s">
        <v>15</v>
      </c>
      <c r="G52" s="9" t="s">
        <v>167</v>
      </c>
    </row>
    <row r="53" spans="1:7" ht="30" customHeight="1" x14ac:dyDescent="0.25">
      <c r="A53" s="10" t="s">
        <v>105</v>
      </c>
      <c r="B53" s="11">
        <v>20</v>
      </c>
      <c r="C53" s="11">
        <v>251</v>
      </c>
      <c r="D53" s="11">
        <v>-231</v>
      </c>
      <c r="E53" s="12"/>
      <c r="F53" s="12" t="s">
        <v>15</v>
      </c>
      <c r="G53" s="13" t="s">
        <v>168</v>
      </c>
    </row>
    <row r="54" spans="1:7" ht="30" customHeight="1" x14ac:dyDescent="0.25">
      <c r="A54" s="30" t="s">
        <v>107</v>
      </c>
      <c r="B54" s="31">
        <v>448</v>
      </c>
      <c r="C54" s="31">
        <v>207</v>
      </c>
      <c r="D54" s="31">
        <v>241</v>
      </c>
      <c r="E54" s="32" t="s">
        <v>8</v>
      </c>
      <c r="F54" s="32"/>
      <c r="G54" s="33" t="s">
        <v>169</v>
      </c>
    </row>
  </sheetData>
  <autoFilter ref="A1:G54" xr:uid="{00000000-0009-0000-0000-000002000000}"/>
  <conditionalFormatting sqref="E2">
    <cfRule type="expression" dxfId="74" priority="7">
      <formula>"D2&gt;0"</formula>
    </cfRule>
  </conditionalFormatting>
  <conditionalFormatting sqref="E2:E37 E40:E54">
    <cfRule type="containsText" dxfId="73" priority="6" operator="containsText" text="We borrowerd more than we lent">
      <formula>NOT(ISERROR(SEARCH("We borrowerd more than we lent",E2)))</formula>
    </cfRule>
  </conditionalFormatting>
  <conditionalFormatting sqref="F2:F37 F40:F54">
    <cfRule type="containsText" dxfId="72" priority="5" operator="containsText" text="We lent more than we borrowed">
      <formula>NOT(ISERROR(SEARCH("We lent more than we borrowed",F2)))</formula>
    </cfRule>
  </conditionalFormatting>
  <conditionalFormatting sqref="E38">
    <cfRule type="containsText" dxfId="71" priority="4" operator="containsText" text="We borrowerd more than we lent">
      <formula>NOT(ISERROR(SEARCH("We borrowerd more than we lent",E38)))</formula>
    </cfRule>
  </conditionalFormatting>
  <conditionalFormatting sqref="F38">
    <cfRule type="containsText" dxfId="70" priority="3" operator="containsText" text="We lent more than we borrowed">
      <formula>NOT(ISERROR(SEARCH("We lent more than we borrowed",F38)))</formula>
    </cfRule>
  </conditionalFormatting>
  <conditionalFormatting sqref="E39">
    <cfRule type="containsText" dxfId="69" priority="2" operator="containsText" text="We borrowerd more than we lent">
      <formula>NOT(ISERROR(SEARCH("We borrowerd more than we lent",E39)))</formula>
    </cfRule>
  </conditionalFormatting>
  <conditionalFormatting sqref="F39">
    <cfRule type="containsText" dxfId="68" priority="1" operator="containsText" text="We lent more than we borrowed">
      <formula>NOT(ISERROR(SEARCH("We lent more than we borrowed",F39)))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G54"/>
  <sheetViews>
    <sheetView zoomScale="85" zoomScaleNormal="85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ColWidth="9.140625" defaultRowHeight="15" x14ac:dyDescent="0.25"/>
  <cols>
    <col min="1" max="1" width="45.7109375" customWidth="1"/>
    <col min="2" max="3" width="30.7109375" customWidth="1"/>
    <col min="4" max="4" width="20.7109375" customWidth="1"/>
    <col min="5" max="6" width="25.7109375" style="34" customWidth="1"/>
    <col min="7" max="7" width="28.7109375" customWidth="1"/>
  </cols>
  <sheetData>
    <row r="1" spans="1:7" s="5" customFormat="1" ht="30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4" t="s">
        <v>6</v>
      </c>
    </row>
    <row r="2" spans="1:7" ht="30" customHeight="1" x14ac:dyDescent="0.25">
      <c r="A2" s="6" t="s">
        <v>7</v>
      </c>
      <c r="B2" s="7">
        <v>1453</v>
      </c>
      <c r="C2" s="7">
        <v>1233</v>
      </c>
      <c r="D2" s="7">
        <v>220</v>
      </c>
      <c r="E2" s="8" t="s">
        <v>8</v>
      </c>
      <c r="F2" s="8"/>
      <c r="G2" s="9" t="s">
        <v>170</v>
      </c>
    </row>
    <row r="3" spans="1:7" ht="30" customHeight="1" x14ac:dyDescent="0.25">
      <c r="A3" s="10" t="s">
        <v>10</v>
      </c>
      <c r="B3" s="11">
        <v>506</v>
      </c>
      <c r="C3" s="11">
        <v>457</v>
      </c>
      <c r="D3" s="11">
        <v>49</v>
      </c>
      <c r="E3" s="12" t="s">
        <v>8</v>
      </c>
      <c r="F3" s="12"/>
      <c r="G3" s="13" t="s">
        <v>9</v>
      </c>
    </row>
    <row r="4" spans="1:7" ht="30" customHeight="1" x14ac:dyDescent="0.25">
      <c r="A4" s="6" t="s">
        <v>12</v>
      </c>
      <c r="B4" s="7">
        <v>1036</v>
      </c>
      <c r="C4" s="7">
        <v>1118</v>
      </c>
      <c r="D4" s="7">
        <v>-82</v>
      </c>
      <c r="E4" s="8"/>
      <c r="F4" s="8" t="s">
        <v>15</v>
      </c>
      <c r="G4" s="9" t="s">
        <v>153</v>
      </c>
    </row>
    <row r="5" spans="1:7" ht="30" customHeight="1" x14ac:dyDescent="0.25">
      <c r="A5" s="10" t="s">
        <v>14</v>
      </c>
      <c r="B5" s="11">
        <v>20</v>
      </c>
      <c r="C5" s="11">
        <v>105</v>
      </c>
      <c r="D5" s="11">
        <v>-85</v>
      </c>
      <c r="E5" s="12"/>
      <c r="F5" s="12" t="s">
        <v>15</v>
      </c>
      <c r="G5" s="13" t="s">
        <v>171</v>
      </c>
    </row>
    <row r="6" spans="1:7" ht="30" customHeight="1" x14ac:dyDescent="0.25">
      <c r="A6" s="6" t="s">
        <v>17</v>
      </c>
      <c r="B6" s="7">
        <v>905</v>
      </c>
      <c r="C6" s="7">
        <v>1050</v>
      </c>
      <c r="D6" s="7">
        <v>-145</v>
      </c>
      <c r="E6" s="8"/>
      <c r="F6" s="8" t="s">
        <v>15</v>
      </c>
      <c r="G6" s="9" t="s">
        <v>172</v>
      </c>
    </row>
    <row r="7" spans="1:7" ht="30" customHeight="1" x14ac:dyDescent="0.25">
      <c r="A7" s="10" t="s">
        <v>19</v>
      </c>
      <c r="B7" s="11">
        <v>236</v>
      </c>
      <c r="C7" s="11">
        <v>168</v>
      </c>
      <c r="D7" s="11">
        <v>68</v>
      </c>
      <c r="E7" s="12" t="s">
        <v>8</v>
      </c>
      <c r="F7" s="12"/>
      <c r="G7" s="13" t="s">
        <v>173</v>
      </c>
    </row>
    <row r="8" spans="1:7" ht="30" customHeight="1" x14ac:dyDescent="0.25">
      <c r="A8" s="6" t="s">
        <v>21</v>
      </c>
      <c r="B8" s="7">
        <v>84</v>
      </c>
      <c r="C8" s="7">
        <v>162</v>
      </c>
      <c r="D8" s="7">
        <v>-78</v>
      </c>
      <c r="E8" s="8"/>
      <c r="F8" s="8" t="s">
        <v>15</v>
      </c>
      <c r="G8" s="9" t="s">
        <v>64</v>
      </c>
    </row>
    <row r="9" spans="1:7" ht="30" customHeight="1" x14ac:dyDescent="0.25">
      <c r="A9" s="10" t="s">
        <v>23</v>
      </c>
      <c r="B9" s="11">
        <v>44</v>
      </c>
      <c r="C9" s="11">
        <v>46</v>
      </c>
      <c r="D9" s="11">
        <v>-2</v>
      </c>
      <c r="E9" s="12"/>
      <c r="F9" s="12" t="s">
        <v>15</v>
      </c>
      <c r="G9" s="13" t="s">
        <v>148</v>
      </c>
    </row>
    <row r="10" spans="1:7" ht="30" customHeight="1" x14ac:dyDescent="0.25">
      <c r="A10" s="6" t="s">
        <v>24</v>
      </c>
      <c r="B10" s="7">
        <v>0</v>
      </c>
      <c r="C10" s="7">
        <v>21</v>
      </c>
      <c r="D10" s="7">
        <v>-21</v>
      </c>
      <c r="E10" s="8"/>
      <c r="F10" s="8" t="s">
        <v>15</v>
      </c>
      <c r="G10" s="9" t="s">
        <v>25</v>
      </c>
    </row>
    <row r="11" spans="1:7" ht="30" customHeight="1" x14ac:dyDescent="0.25">
      <c r="A11" s="10" t="s">
        <v>26</v>
      </c>
      <c r="B11" s="11">
        <v>0</v>
      </c>
      <c r="C11" s="11">
        <v>0</v>
      </c>
      <c r="D11" s="11">
        <v>0</v>
      </c>
      <c r="E11" s="12"/>
      <c r="F11" s="12"/>
      <c r="G11" s="13"/>
    </row>
    <row r="12" spans="1:7" ht="30" customHeight="1" x14ac:dyDescent="0.25">
      <c r="A12" s="14" t="s">
        <v>27</v>
      </c>
      <c r="B12" s="15">
        <v>11</v>
      </c>
      <c r="C12" s="15">
        <v>18</v>
      </c>
      <c r="D12" s="15">
        <v>-7</v>
      </c>
      <c r="E12" s="16"/>
      <c r="F12" s="16" t="s">
        <v>15</v>
      </c>
      <c r="G12" s="17" t="s">
        <v>167</v>
      </c>
    </row>
    <row r="13" spans="1:7" ht="30" customHeight="1" x14ac:dyDescent="0.25">
      <c r="A13" s="18" t="s">
        <v>29</v>
      </c>
      <c r="B13" s="19">
        <v>55</v>
      </c>
      <c r="C13" s="19">
        <v>48</v>
      </c>
      <c r="D13" s="19">
        <v>7</v>
      </c>
      <c r="E13" s="20" t="s">
        <v>8</v>
      </c>
      <c r="F13" s="20"/>
      <c r="G13" s="21" t="s">
        <v>114</v>
      </c>
    </row>
    <row r="14" spans="1:7" ht="30" customHeight="1" x14ac:dyDescent="0.25">
      <c r="A14" s="14" t="s">
        <v>31</v>
      </c>
      <c r="B14" s="15">
        <v>116</v>
      </c>
      <c r="C14" s="15">
        <v>293</v>
      </c>
      <c r="D14" s="15">
        <v>-177</v>
      </c>
      <c r="E14" s="16"/>
      <c r="F14" s="16" t="s">
        <v>15</v>
      </c>
      <c r="G14" s="17" t="s">
        <v>47</v>
      </c>
    </row>
    <row r="15" spans="1:7" ht="30" customHeight="1" x14ac:dyDescent="0.25">
      <c r="A15" s="18" t="s">
        <v>33</v>
      </c>
      <c r="B15" s="19">
        <v>37</v>
      </c>
      <c r="C15" s="19">
        <v>125</v>
      </c>
      <c r="D15" s="19">
        <v>-88</v>
      </c>
      <c r="E15" s="20"/>
      <c r="F15" s="20" t="s">
        <v>15</v>
      </c>
      <c r="G15" s="21" t="s">
        <v>160</v>
      </c>
    </row>
    <row r="16" spans="1:7" ht="30" customHeight="1" x14ac:dyDescent="0.25">
      <c r="A16" s="6" t="s">
        <v>35</v>
      </c>
      <c r="B16" s="7">
        <v>72</v>
      </c>
      <c r="C16" s="7">
        <v>137</v>
      </c>
      <c r="D16" s="7">
        <v>-65</v>
      </c>
      <c r="E16" s="8"/>
      <c r="F16" s="8" t="s">
        <v>15</v>
      </c>
      <c r="G16" s="9" t="s">
        <v>141</v>
      </c>
    </row>
    <row r="17" spans="1:7" ht="30" customHeight="1" x14ac:dyDescent="0.25">
      <c r="A17" s="10" t="s">
        <v>37</v>
      </c>
      <c r="B17" s="11">
        <v>568</v>
      </c>
      <c r="C17" s="11">
        <v>460</v>
      </c>
      <c r="D17" s="11">
        <v>108</v>
      </c>
      <c r="E17" s="12" t="s">
        <v>8</v>
      </c>
      <c r="F17" s="12"/>
      <c r="G17" s="13" t="s">
        <v>174</v>
      </c>
    </row>
    <row r="18" spans="1:7" ht="30" customHeight="1" x14ac:dyDescent="0.25">
      <c r="A18" s="6" t="s">
        <v>38</v>
      </c>
      <c r="B18" s="7">
        <v>123</v>
      </c>
      <c r="C18" s="7">
        <v>84</v>
      </c>
      <c r="D18" s="7">
        <v>39</v>
      </c>
      <c r="E18" s="8" t="s">
        <v>8</v>
      </c>
      <c r="F18" s="8"/>
      <c r="G18" s="9" t="s">
        <v>175</v>
      </c>
    </row>
    <row r="19" spans="1:7" ht="30" customHeight="1" x14ac:dyDescent="0.25">
      <c r="A19" s="10" t="s">
        <v>40</v>
      </c>
      <c r="B19" s="11">
        <v>418</v>
      </c>
      <c r="C19" s="11">
        <v>303</v>
      </c>
      <c r="D19" s="11">
        <v>115</v>
      </c>
      <c r="E19" s="12" t="s">
        <v>8</v>
      </c>
      <c r="F19" s="12"/>
      <c r="G19" s="13" t="s">
        <v>93</v>
      </c>
    </row>
    <row r="20" spans="1:7" ht="30" customHeight="1" x14ac:dyDescent="0.25">
      <c r="A20" s="6" t="s">
        <v>42</v>
      </c>
      <c r="B20" s="7">
        <v>2</v>
      </c>
      <c r="C20" s="7">
        <v>33</v>
      </c>
      <c r="D20" s="7">
        <v>-31</v>
      </c>
      <c r="E20" s="8"/>
      <c r="F20" s="8" t="s">
        <v>15</v>
      </c>
      <c r="G20" s="9" t="s">
        <v>176</v>
      </c>
    </row>
    <row r="21" spans="1:7" ht="30" customHeight="1" x14ac:dyDescent="0.25">
      <c r="A21" s="10" t="s">
        <v>44</v>
      </c>
      <c r="B21" s="11">
        <v>446</v>
      </c>
      <c r="C21" s="11">
        <v>393</v>
      </c>
      <c r="D21" s="11">
        <v>53</v>
      </c>
      <c r="E21" s="12" t="s">
        <v>8</v>
      </c>
      <c r="F21" s="12"/>
      <c r="G21" s="13" t="s">
        <v>111</v>
      </c>
    </row>
    <row r="22" spans="1:7" ht="30" customHeight="1" x14ac:dyDescent="0.25">
      <c r="A22" s="6" t="s">
        <v>46</v>
      </c>
      <c r="B22" s="7">
        <v>90</v>
      </c>
      <c r="C22" s="7">
        <v>205</v>
      </c>
      <c r="D22" s="7">
        <v>-115</v>
      </c>
      <c r="E22" s="8"/>
      <c r="F22" s="8" t="s">
        <v>15</v>
      </c>
      <c r="G22" s="9" t="s">
        <v>177</v>
      </c>
    </row>
    <row r="23" spans="1:7" ht="30" customHeight="1" x14ac:dyDescent="0.25">
      <c r="A23" s="10" t="s">
        <v>48</v>
      </c>
      <c r="B23" s="11">
        <v>634</v>
      </c>
      <c r="C23" s="11">
        <v>647</v>
      </c>
      <c r="D23" s="11">
        <v>-13</v>
      </c>
      <c r="E23" s="12"/>
      <c r="F23" s="12" t="s">
        <v>15</v>
      </c>
      <c r="G23" s="13" t="s">
        <v>178</v>
      </c>
    </row>
    <row r="24" spans="1:7" ht="30" customHeight="1" x14ac:dyDescent="0.25">
      <c r="A24" s="6" t="s">
        <v>50</v>
      </c>
      <c r="B24" s="7">
        <v>1819</v>
      </c>
      <c r="C24" s="7">
        <v>1318</v>
      </c>
      <c r="D24" s="7">
        <v>501</v>
      </c>
      <c r="E24" s="8" t="s">
        <v>8</v>
      </c>
      <c r="F24" s="8"/>
      <c r="G24" s="9" t="s">
        <v>93</v>
      </c>
    </row>
    <row r="25" spans="1:7" ht="30" customHeight="1" x14ac:dyDescent="0.25">
      <c r="A25" s="10" t="s">
        <v>52</v>
      </c>
      <c r="B25" s="11">
        <v>215</v>
      </c>
      <c r="C25" s="11">
        <v>324</v>
      </c>
      <c r="D25" s="11">
        <v>-109</v>
      </c>
      <c r="E25" s="12"/>
      <c r="F25" s="12" t="s">
        <v>15</v>
      </c>
      <c r="G25" s="13" t="s">
        <v>158</v>
      </c>
    </row>
    <row r="26" spans="1:7" ht="30" customHeight="1" x14ac:dyDescent="0.25">
      <c r="A26" s="6" t="s">
        <v>54</v>
      </c>
      <c r="B26" s="7">
        <v>0</v>
      </c>
      <c r="C26" s="7">
        <v>0</v>
      </c>
      <c r="D26" s="7">
        <v>0</v>
      </c>
      <c r="E26" s="8"/>
      <c r="F26" s="8"/>
      <c r="G26" s="9"/>
    </row>
    <row r="27" spans="1:7" ht="30" customHeight="1" x14ac:dyDescent="0.25">
      <c r="A27" s="10" t="s">
        <v>55</v>
      </c>
      <c r="B27" s="11">
        <v>191</v>
      </c>
      <c r="C27" s="11">
        <v>119</v>
      </c>
      <c r="D27" s="11">
        <v>72</v>
      </c>
      <c r="E27" s="12" t="s">
        <v>8</v>
      </c>
      <c r="F27" s="12"/>
      <c r="G27" s="13" t="s">
        <v>41</v>
      </c>
    </row>
    <row r="28" spans="1:7" ht="30" customHeight="1" x14ac:dyDescent="0.25">
      <c r="A28" s="6" t="s">
        <v>57</v>
      </c>
      <c r="B28" s="7">
        <v>128</v>
      </c>
      <c r="C28" s="7">
        <v>94</v>
      </c>
      <c r="D28" s="7">
        <v>34</v>
      </c>
      <c r="E28" s="8" t="s">
        <v>8</v>
      </c>
      <c r="F28" s="8"/>
      <c r="G28" s="9" t="s">
        <v>179</v>
      </c>
    </row>
    <row r="29" spans="1:7" ht="30" customHeight="1" x14ac:dyDescent="0.25">
      <c r="A29" s="10" t="s">
        <v>59</v>
      </c>
      <c r="B29" s="11">
        <v>776</v>
      </c>
      <c r="C29" s="11">
        <v>435</v>
      </c>
      <c r="D29" s="11">
        <v>341</v>
      </c>
      <c r="E29" s="12" t="s">
        <v>8</v>
      </c>
      <c r="F29" s="12"/>
      <c r="G29" s="13" t="s">
        <v>180</v>
      </c>
    </row>
    <row r="30" spans="1:7" ht="30" customHeight="1" x14ac:dyDescent="0.25">
      <c r="A30" s="6" t="s">
        <v>61</v>
      </c>
      <c r="B30" s="7">
        <v>70</v>
      </c>
      <c r="C30" s="7">
        <v>18</v>
      </c>
      <c r="D30" s="7">
        <v>52</v>
      </c>
      <c r="E30" s="8" t="s">
        <v>8</v>
      </c>
      <c r="F30" s="8"/>
      <c r="G30" s="9" t="s">
        <v>181</v>
      </c>
    </row>
    <row r="31" spans="1:7" ht="30" customHeight="1" x14ac:dyDescent="0.25">
      <c r="A31" s="10" t="s">
        <v>63</v>
      </c>
      <c r="B31" s="11">
        <v>101</v>
      </c>
      <c r="C31" s="11">
        <v>255</v>
      </c>
      <c r="D31" s="11">
        <v>-154</v>
      </c>
      <c r="E31" s="12"/>
      <c r="F31" s="12" t="s">
        <v>15</v>
      </c>
      <c r="G31" s="13" t="s">
        <v>47</v>
      </c>
    </row>
    <row r="32" spans="1:7" ht="30" customHeight="1" x14ac:dyDescent="0.25">
      <c r="A32" s="6" t="s">
        <v>65</v>
      </c>
      <c r="B32" s="7">
        <v>381</v>
      </c>
      <c r="C32" s="7">
        <v>475</v>
      </c>
      <c r="D32" s="7">
        <v>-94</v>
      </c>
      <c r="E32" s="8"/>
      <c r="F32" s="8" t="s">
        <v>15</v>
      </c>
      <c r="G32" s="9" t="s">
        <v>182</v>
      </c>
    </row>
    <row r="33" spans="1:7" ht="30" customHeight="1" x14ac:dyDescent="0.25">
      <c r="A33" s="10" t="s">
        <v>67</v>
      </c>
      <c r="B33" s="11">
        <v>310</v>
      </c>
      <c r="C33" s="11">
        <v>277</v>
      </c>
      <c r="D33" s="11">
        <v>33</v>
      </c>
      <c r="E33" s="12" t="s">
        <v>8</v>
      </c>
      <c r="F33" s="12"/>
      <c r="G33" s="13" t="s">
        <v>183</v>
      </c>
    </row>
    <row r="34" spans="1:7" ht="30" customHeight="1" x14ac:dyDescent="0.25">
      <c r="A34" s="6" t="s">
        <v>69</v>
      </c>
      <c r="B34" s="7">
        <v>143</v>
      </c>
      <c r="C34" s="7">
        <v>91</v>
      </c>
      <c r="D34" s="7">
        <v>52</v>
      </c>
      <c r="E34" s="8" t="s">
        <v>8</v>
      </c>
      <c r="F34" s="8"/>
      <c r="G34" s="9" t="s">
        <v>184</v>
      </c>
    </row>
    <row r="35" spans="1:7" ht="30" customHeight="1" x14ac:dyDescent="0.25">
      <c r="A35" s="10" t="s">
        <v>71</v>
      </c>
      <c r="B35" s="11">
        <v>1043</v>
      </c>
      <c r="C35" s="11">
        <v>1321</v>
      </c>
      <c r="D35" s="11">
        <v>-278</v>
      </c>
      <c r="E35" s="12"/>
      <c r="F35" s="12" t="s">
        <v>15</v>
      </c>
      <c r="G35" s="13" t="s">
        <v>164</v>
      </c>
    </row>
    <row r="36" spans="1:7" ht="30" customHeight="1" x14ac:dyDescent="0.25">
      <c r="A36" s="6" t="s">
        <v>73</v>
      </c>
      <c r="B36" s="7">
        <v>175</v>
      </c>
      <c r="C36" s="7">
        <v>474</v>
      </c>
      <c r="D36" s="7">
        <v>-299</v>
      </c>
      <c r="E36" s="8"/>
      <c r="F36" s="8" t="s">
        <v>15</v>
      </c>
      <c r="G36" s="9" t="s">
        <v>185</v>
      </c>
    </row>
    <row r="37" spans="1:7" ht="30" customHeight="1" x14ac:dyDescent="0.25">
      <c r="A37" s="10" t="s">
        <v>75</v>
      </c>
      <c r="B37" s="11">
        <v>628</v>
      </c>
      <c r="C37" s="11">
        <v>310</v>
      </c>
      <c r="D37" s="11">
        <v>318</v>
      </c>
      <c r="E37" s="12" t="s">
        <v>8</v>
      </c>
      <c r="F37" s="12"/>
      <c r="G37" s="13" t="s">
        <v>186</v>
      </c>
    </row>
    <row r="38" spans="1:7" ht="30" customHeight="1" x14ac:dyDescent="0.25">
      <c r="A38" s="6" t="s">
        <v>77</v>
      </c>
      <c r="B38" s="7">
        <v>48</v>
      </c>
      <c r="C38" s="7">
        <v>192</v>
      </c>
      <c r="D38" s="7">
        <v>-144</v>
      </c>
      <c r="E38" s="8"/>
      <c r="F38" s="8" t="s">
        <v>15</v>
      </c>
      <c r="G38" s="9" t="s">
        <v>187</v>
      </c>
    </row>
    <row r="39" spans="1:7" ht="30" customHeight="1" x14ac:dyDescent="0.25">
      <c r="A39" s="10" t="s">
        <v>79</v>
      </c>
      <c r="B39" s="11">
        <v>11</v>
      </c>
      <c r="C39" s="11">
        <v>75</v>
      </c>
      <c r="D39" s="11">
        <v>-64</v>
      </c>
      <c r="E39" s="12"/>
      <c r="F39" s="12" t="s">
        <v>15</v>
      </c>
      <c r="G39" s="13" t="s">
        <v>134</v>
      </c>
    </row>
    <row r="40" spans="1:7" ht="30" customHeight="1" x14ac:dyDescent="0.25">
      <c r="A40" s="22" t="s">
        <v>81</v>
      </c>
      <c r="B40" s="23">
        <v>97</v>
      </c>
      <c r="C40" s="23">
        <v>122</v>
      </c>
      <c r="D40" s="23">
        <v>-25</v>
      </c>
      <c r="E40" s="24"/>
      <c r="F40" s="24" t="s">
        <v>15</v>
      </c>
      <c r="G40" s="25" t="s">
        <v>182</v>
      </c>
    </row>
    <row r="41" spans="1:7" ht="30" customHeight="1" x14ac:dyDescent="0.25">
      <c r="A41" s="26" t="s">
        <v>83</v>
      </c>
      <c r="B41" s="27">
        <v>5</v>
      </c>
      <c r="C41" s="27">
        <v>19</v>
      </c>
      <c r="D41" s="27">
        <v>-14</v>
      </c>
      <c r="E41" s="28"/>
      <c r="F41" s="28" t="s">
        <v>15</v>
      </c>
      <c r="G41" s="29" t="s">
        <v>161</v>
      </c>
    </row>
    <row r="42" spans="1:7" ht="30" customHeight="1" x14ac:dyDescent="0.25">
      <c r="A42" s="22" t="s">
        <v>85</v>
      </c>
      <c r="B42" s="23">
        <v>14</v>
      </c>
      <c r="C42" s="23">
        <v>29</v>
      </c>
      <c r="D42" s="23">
        <v>-15</v>
      </c>
      <c r="E42" s="24"/>
      <c r="F42" s="24" t="s">
        <v>15</v>
      </c>
      <c r="G42" s="25" t="s">
        <v>53</v>
      </c>
    </row>
    <row r="43" spans="1:7" ht="30" customHeight="1" x14ac:dyDescent="0.25">
      <c r="A43" s="26" t="s">
        <v>87</v>
      </c>
      <c r="B43" s="27">
        <v>70</v>
      </c>
      <c r="C43" s="27">
        <v>91</v>
      </c>
      <c r="D43" s="27">
        <v>-21</v>
      </c>
      <c r="E43" s="28"/>
      <c r="F43" s="28" t="s">
        <v>15</v>
      </c>
      <c r="G43" s="29" t="s">
        <v>188</v>
      </c>
    </row>
    <row r="44" spans="1:7" ht="30" customHeight="1" x14ac:dyDescent="0.25">
      <c r="A44" s="6" t="s">
        <v>89</v>
      </c>
      <c r="B44" s="7">
        <v>67</v>
      </c>
      <c r="C44" s="7">
        <v>174</v>
      </c>
      <c r="D44" s="7">
        <v>-107</v>
      </c>
      <c r="E44" s="8"/>
      <c r="F44" s="8" t="s">
        <v>15</v>
      </c>
      <c r="G44" s="9" t="s">
        <v>136</v>
      </c>
    </row>
    <row r="45" spans="1:7" ht="30" customHeight="1" x14ac:dyDescent="0.25">
      <c r="A45" s="10" t="s">
        <v>91</v>
      </c>
      <c r="B45" s="11">
        <v>550</v>
      </c>
      <c r="C45" s="11">
        <v>547</v>
      </c>
      <c r="D45" s="11">
        <v>3</v>
      </c>
      <c r="E45" s="12" t="s">
        <v>8</v>
      </c>
      <c r="F45" s="12"/>
      <c r="G45" s="13" t="s">
        <v>13</v>
      </c>
    </row>
    <row r="46" spans="1:7" ht="30" customHeight="1" x14ac:dyDescent="0.25">
      <c r="A46" s="6" t="s">
        <v>92</v>
      </c>
      <c r="B46" s="7">
        <v>732</v>
      </c>
      <c r="C46" s="7">
        <v>674</v>
      </c>
      <c r="D46" s="7">
        <v>58</v>
      </c>
      <c r="E46" s="8" t="s">
        <v>8</v>
      </c>
      <c r="F46" s="8"/>
      <c r="G46" s="9" t="s">
        <v>189</v>
      </c>
    </row>
    <row r="47" spans="1:7" ht="30" customHeight="1" x14ac:dyDescent="0.25">
      <c r="A47" s="10" t="s">
        <v>94</v>
      </c>
      <c r="B47" s="11">
        <v>240</v>
      </c>
      <c r="C47" s="11">
        <v>636</v>
      </c>
      <c r="D47" s="11">
        <v>-396</v>
      </c>
      <c r="E47" s="12"/>
      <c r="F47" s="12" t="s">
        <v>15</v>
      </c>
      <c r="G47" s="13" t="s">
        <v>133</v>
      </c>
    </row>
    <row r="48" spans="1:7" ht="30" customHeight="1" x14ac:dyDescent="0.25">
      <c r="A48" s="6" t="s">
        <v>95</v>
      </c>
      <c r="B48" s="7">
        <v>394</v>
      </c>
      <c r="C48" s="7">
        <v>235</v>
      </c>
      <c r="D48" s="7">
        <v>159</v>
      </c>
      <c r="E48" s="8" t="s">
        <v>8</v>
      </c>
      <c r="F48" s="8"/>
      <c r="G48" s="9" t="s">
        <v>190</v>
      </c>
    </row>
    <row r="49" spans="1:7" ht="30" customHeight="1" x14ac:dyDescent="0.25">
      <c r="A49" s="10" t="s">
        <v>97</v>
      </c>
      <c r="B49" s="11">
        <v>984</v>
      </c>
      <c r="C49" s="11">
        <v>644</v>
      </c>
      <c r="D49" s="11">
        <v>340</v>
      </c>
      <c r="E49" s="12" t="s">
        <v>8</v>
      </c>
      <c r="F49" s="12"/>
      <c r="G49" s="13" t="s">
        <v>140</v>
      </c>
    </row>
    <row r="50" spans="1:7" ht="30" customHeight="1" x14ac:dyDescent="0.25">
      <c r="A50" s="6" t="s">
        <v>99</v>
      </c>
      <c r="B50" s="7">
        <v>131</v>
      </c>
      <c r="C50" s="7">
        <v>155</v>
      </c>
      <c r="D50" s="7">
        <v>-24</v>
      </c>
      <c r="E50" s="8"/>
      <c r="F50" s="8" t="s">
        <v>15</v>
      </c>
      <c r="G50" s="9" t="s">
        <v>191</v>
      </c>
    </row>
    <row r="51" spans="1:7" ht="30" customHeight="1" x14ac:dyDescent="0.25">
      <c r="A51" s="10" t="s">
        <v>101</v>
      </c>
      <c r="B51" s="11">
        <v>349</v>
      </c>
      <c r="C51" s="11">
        <v>363</v>
      </c>
      <c r="D51" s="11">
        <v>-14</v>
      </c>
      <c r="E51" s="12"/>
      <c r="F51" s="12" t="s">
        <v>15</v>
      </c>
      <c r="G51" s="13" t="s">
        <v>148</v>
      </c>
    </row>
    <row r="52" spans="1:7" ht="30" customHeight="1" x14ac:dyDescent="0.25">
      <c r="A52" s="6" t="s">
        <v>103</v>
      </c>
      <c r="B52" s="7">
        <v>130</v>
      </c>
      <c r="C52" s="7">
        <v>205</v>
      </c>
      <c r="D52" s="7">
        <v>-75</v>
      </c>
      <c r="E52" s="8"/>
      <c r="F52" s="8" t="s">
        <v>15</v>
      </c>
      <c r="G52" s="9" t="s">
        <v>86</v>
      </c>
    </row>
    <row r="53" spans="1:7" ht="30" customHeight="1" x14ac:dyDescent="0.25">
      <c r="A53" s="10" t="s">
        <v>105</v>
      </c>
      <c r="B53" s="11">
        <v>29</v>
      </c>
      <c r="C53" s="11">
        <v>207</v>
      </c>
      <c r="D53" s="11">
        <v>-178</v>
      </c>
      <c r="E53" s="12"/>
      <c r="F53" s="12" t="s">
        <v>15</v>
      </c>
      <c r="G53" s="13" t="s">
        <v>149</v>
      </c>
    </row>
    <row r="54" spans="1:7" ht="30" customHeight="1" x14ac:dyDescent="0.25">
      <c r="A54" s="30" t="s">
        <v>107</v>
      </c>
      <c r="B54" s="31">
        <v>479</v>
      </c>
      <c r="C54" s="31">
        <v>181</v>
      </c>
      <c r="D54" s="31">
        <v>298</v>
      </c>
      <c r="E54" s="32" t="s">
        <v>8</v>
      </c>
      <c r="F54" s="32"/>
      <c r="G54" s="33" t="s">
        <v>192</v>
      </c>
    </row>
  </sheetData>
  <autoFilter ref="A1:G54" xr:uid="{00000000-0009-0000-0000-000003000000}"/>
  <conditionalFormatting sqref="E2">
    <cfRule type="expression" dxfId="67" priority="7">
      <formula>"D2&gt;0"</formula>
    </cfRule>
  </conditionalFormatting>
  <conditionalFormatting sqref="E2:E37 E40:E54">
    <cfRule type="containsText" dxfId="66" priority="6" operator="containsText" text="We borrowerd more than we lent">
      <formula>NOT(ISERROR(SEARCH("We borrowerd more than we lent",E2)))</formula>
    </cfRule>
  </conditionalFormatting>
  <conditionalFormatting sqref="F2:F37 F40:F54">
    <cfRule type="containsText" dxfId="65" priority="5" operator="containsText" text="We lent more than we borrowed">
      <formula>NOT(ISERROR(SEARCH("We lent more than we borrowed",F2)))</formula>
    </cfRule>
  </conditionalFormatting>
  <conditionalFormatting sqref="E38">
    <cfRule type="containsText" dxfId="64" priority="4" operator="containsText" text="We borrowerd more than we lent">
      <formula>NOT(ISERROR(SEARCH("We borrowerd more than we lent",E38)))</formula>
    </cfRule>
  </conditionalFormatting>
  <conditionalFormatting sqref="F38">
    <cfRule type="containsText" dxfId="63" priority="3" operator="containsText" text="We lent more than we borrowed">
      <formula>NOT(ISERROR(SEARCH("We lent more than we borrowed",F38)))</formula>
    </cfRule>
  </conditionalFormatting>
  <conditionalFormatting sqref="E39">
    <cfRule type="containsText" dxfId="62" priority="2" operator="containsText" text="We borrowerd more than we lent">
      <formula>NOT(ISERROR(SEARCH("We borrowerd more than we lent",E39)))</formula>
    </cfRule>
  </conditionalFormatting>
  <conditionalFormatting sqref="F39">
    <cfRule type="containsText" dxfId="61" priority="1" operator="containsText" text="We lent more than we borrowed">
      <formula>NOT(ISERROR(SEARCH("We lent more than we borrowed",F39)))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54"/>
  <sheetViews>
    <sheetView zoomScale="85" zoomScaleNormal="85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ColWidth="9.140625" defaultRowHeight="15" x14ac:dyDescent="0.25"/>
  <cols>
    <col min="1" max="1" width="45.7109375" customWidth="1"/>
    <col min="2" max="3" width="30.7109375" customWidth="1"/>
    <col min="4" max="4" width="20.7109375" customWidth="1"/>
    <col min="5" max="6" width="25.7109375" style="34" customWidth="1"/>
    <col min="7" max="7" width="28.7109375" customWidth="1"/>
  </cols>
  <sheetData>
    <row r="1" spans="1:7" s="5" customFormat="1" ht="30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4" t="s">
        <v>6</v>
      </c>
    </row>
    <row r="2" spans="1:7" ht="30" customHeight="1" x14ac:dyDescent="0.25">
      <c r="A2" s="6" t="s">
        <v>7</v>
      </c>
      <c r="B2" s="7">
        <v>1251</v>
      </c>
      <c r="C2" s="7">
        <v>970</v>
      </c>
      <c r="D2" s="7">
        <v>281</v>
      </c>
      <c r="E2" s="8" t="s">
        <v>8</v>
      </c>
      <c r="F2" s="8"/>
      <c r="G2" s="9" t="s">
        <v>193</v>
      </c>
    </row>
    <row r="3" spans="1:7" ht="30" customHeight="1" x14ac:dyDescent="0.25">
      <c r="A3" s="10" t="s">
        <v>10</v>
      </c>
      <c r="B3" s="11">
        <v>501</v>
      </c>
      <c r="C3" s="11">
        <v>401</v>
      </c>
      <c r="D3" s="11">
        <v>100</v>
      </c>
      <c r="E3" s="12" t="s">
        <v>8</v>
      </c>
      <c r="F3" s="12"/>
      <c r="G3" s="13" t="s">
        <v>194</v>
      </c>
    </row>
    <row r="4" spans="1:7" ht="30" customHeight="1" x14ac:dyDescent="0.25">
      <c r="A4" s="6" t="s">
        <v>12</v>
      </c>
      <c r="B4" s="7">
        <v>955</v>
      </c>
      <c r="C4" s="7">
        <v>1109</v>
      </c>
      <c r="D4" s="7">
        <v>-154</v>
      </c>
      <c r="E4" s="8"/>
      <c r="F4" s="8" t="s">
        <v>15</v>
      </c>
      <c r="G4" s="9" t="s">
        <v>172</v>
      </c>
    </row>
    <row r="5" spans="1:7" ht="30" customHeight="1" x14ac:dyDescent="0.25">
      <c r="A5" s="10" t="s">
        <v>14</v>
      </c>
      <c r="B5" s="11">
        <v>19</v>
      </c>
      <c r="C5" s="11">
        <v>108</v>
      </c>
      <c r="D5" s="11">
        <v>-89</v>
      </c>
      <c r="E5" s="12"/>
      <c r="F5" s="12" t="s">
        <v>15</v>
      </c>
      <c r="G5" s="13" t="s">
        <v>195</v>
      </c>
    </row>
    <row r="6" spans="1:7" ht="30" customHeight="1" x14ac:dyDescent="0.25">
      <c r="A6" s="6" t="s">
        <v>17</v>
      </c>
      <c r="B6" s="7">
        <v>891</v>
      </c>
      <c r="C6" s="7">
        <v>1110</v>
      </c>
      <c r="D6" s="7">
        <v>-219</v>
      </c>
      <c r="E6" s="8"/>
      <c r="F6" s="8" t="s">
        <v>15</v>
      </c>
      <c r="G6" s="9" t="s">
        <v>182</v>
      </c>
    </row>
    <row r="7" spans="1:7" ht="30" customHeight="1" x14ac:dyDescent="0.25">
      <c r="A7" s="10" t="s">
        <v>19</v>
      </c>
      <c r="B7" s="11">
        <v>409</v>
      </c>
      <c r="C7" s="11">
        <v>159</v>
      </c>
      <c r="D7" s="11">
        <v>250</v>
      </c>
      <c r="E7" s="12" t="s">
        <v>8</v>
      </c>
      <c r="F7" s="12"/>
      <c r="G7" s="13" t="s">
        <v>196</v>
      </c>
    </row>
    <row r="8" spans="1:7" ht="30" customHeight="1" x14ac:dyDescent="0.25">
      <c r="A8" s="6" t="s">
        <v>21</v>
      </c>
      <c r="B8" s="7">
        <v>87</v>
      </c>
      <c r="C8" s="7">
        <v>125</v>
      </c>
      <c r="D8" s="7">
        <v>-38</v>
      </c>
      <c r="E8" s="8"/>
      <c r="F8" s="8" t="s">
        <v>15</v>
      </c>
      <c r="G8" s="9" t="s">
        <v>156</v>
      </c>
    </row>
    <row r="9" spans="1:7" ht="30" customHeight="1" x14ac:dyDescent="0.25">
      <c r="A9" s="10" t="s">
        <v>23</v>
      </c>
      <c r="B9" s="11">
        <v>47</v>
      </c>
      <c r="C9" s="11">
        <v>40</v>
      </c>
      <c r="D9" s="11">
        <v>7</v>
      </c>
      <c r="E9" s="12" t="s">
        <v>8</v>
      </c>
      <c r="F9" s="12"/>
      <c r="G9" s="13" t="s">
        <v>170</v>
      </c>
    </row>
    <row r="10" spans="1:7" ht="30" customHeight="1" x14ac:dyDescent="0.25">
      <c r="A10" s="6" t="s">
        <v>24</v>
      </c>
      <c r="B10" s="7">
        <v>0</v>
      </c>
      <c r="C10" s="7">
        <v>10</v>
      </c>
      <c r="D10" s="7">
        <v>-10</v>
      </c>
      <c r="E10" s="8"/>
      <c r="F10" s="8" t="s">
        <v>15</v>
      </c>
      <c r="G10" s="9" t="s">
        <v>25</v>
      </c>
    </row>
    <row r="11" spans="1:7" ht="30" customHeight="1" x14ac:dyDescent="0.25">
      <c r="A11" s="10" t="s">
        <v>26</v>
      </c>
      <c r="B11" s="11">
        <v>0</v>
      </c>
      <c r="C11" s="11">
        <v>0</v>
      </c>
      <c r="D11" s="11">
        <v>0</v>
      </c>
      <c r="E11" s="12"/>
      <c r="F11" s="12"/>
      <c r="G11" s="13"/>
    </row>
    <row r="12" spans="1:7" ht="30" customHeight="1" x14ac:dyDescent="0.25">
      <c r="A12" s="14" t="s">
        <v>27</v>
      </c>
      <c r="B12" s="15">
        <v>4</v>
      </c>
      <c r="C12" s="15">
        <v>8</v>
      </c>
      <c r="D12" s="15">
        <v>-4</v>
      </c>
      <c r="E12" s="16"/>
      <c r="F12" s="16" t="s">
        <v>15</v>
      </c>
      <c r="G12" s="17" t="s">
        <v>165</v>
      </c>
    </row>
    <row r="13" spans="1:7" ht="30" customHeight="1" x14ac:dyDescent="0.25">
      <c r="A13" s="18" t="s">
        <v>29</v>
      </c>
      <c r="B13" s="19">
        <v>44</v>
      </c>
      <c r="C13" s="19">
        <v>44</v>
      </c>
      <c r="D13" s="19">
        <v>0</v>
      </c>
      <c r="E13" s="20"/>
      <c r="F13" s="20"/>
      <c r="G13" s="21" t="s">
        <v>66</v>
      </c>
    </row>
    <row r="14" spans="1:7" ht="30" customHeight="1" x14ac:dyDescent="0.25">
      <c r="A14" s="14" t="s">
        <v>31</v>
      </c>
      <c r="B14" s="15">
        <v>97</v>
      </c>
      <c r="C14" s="15">
        <v>244</v>
      </c>
      <c r="D14" s="15">
        <v>-147</v>
      </c>
      <c r="E14" s="16"/>
      <c r="F14" s="16" t="s">
        <v>15</v>
      </c>
      <c r="G14" s="17" t="s">
        <v>47</v>
      </c>
    </row>
    <row r="15" spans="1:7" ht="30" customHeight="1" x14ac:dyDescent="0.25">
      <c r="A15" s="18" t="s">
        <v>33</v>
      </c>
      <c r="B15" s="19">
        <v>30</v>
      </c>
      <c r="C15" s="19">
        <v>108</v>
      </c>
      <c r="D15" s="19">
        <v>-78</v>
      </c>
      <c r="E15" s="20"/>
      <c r="F15" s="20" t="s">
        <v>15</v>
      </c>
      <c r="G15" s="21" t="s">
        <v>74</v>
      </c>
    </row>
    <row r="16" spans="1:7" ht="30" customHeight="1" x14ac:dyDescent="0.25">
      <c r="A16" s="6" t="s">
        <v>35</v>
      </c>
      <c r="B16" s="7">
        <v>52</v>
      </c>
      <c r="C16" s="7">
        <v>106</v>
      </c>
      <c r="D16" s="7">
        <v>-54</v>
      </c>
      <c r="E16" s="8"/>
      <c r="F16" s="8" t="s">
        <v>15</v>
      </c>
      <c r="G16" s="9" t="s">
        <v>129</v>
      </c>
    </row>
    <row r="17" spans="1:7" ht="30" customHeight="1" x14ac:dyDescent="0.25">
      <c r="A17" s="10" t="s">
        <v>37</v>
      </c>
      <c r="B17" s="11">
        <v>557</v>
      </c>
      <c r="C17" s="11">
        <v>348</v>
      </c>
      <c r="D17" s="11">
        <v>209</v>
      </c>
      <c r="E17" s="12" t="s">
        <v>8</v>
      </c>
      <c r="F17" s="12"/>
      <c r="G17" s="13" t="s">
        <v>11</v>
      </c>
    </row>
    <row r="18" spans="1:7" ht="30" customHeight="1" x14ac:dyDescent="0.25">
      <c r="A18" s="6" t="s">
        <v>38</v>
      </c>
      <c r="B18" s="7">
        <v>67</v>
      </c>
      <c r="C18" s="7">
        <v>72</v>
      </c>
      <c r="D18" s="7">
        <v>-5</v>
      </c>
      <c r="E18" s="8"/>
      <c r="F18" s="8" t="s">
        <v>15</v>
      </c>
      <c r="G18" s="9" t="s">
        <v>153</v>
      </c>
    </row>
    <row r="19" spans="1:7" ht="30" customHeight="1" x14ac:dyDescent="0.25">
      <c r="A19" s="10" t="s">
        <v>40</v>
      </c>
      <c r="B19" s="11">
        <v>380</v>
      </c>
      <c r="C19" s="11">
        <v>348</v>
      </c>
      <c r="D19" s="11">
        <v>32</v>
      </c>
      <c r="E19" s="12" t="s">
        <v>8</v>
      </c>
      <c r="F19" s="12"/>
      <c r="G19" s="13" t="s">
        <v>189</v>
      </c>
    </row>
    <row r="20" spans="1:7" ht="30" customHeight="1" x14ac:dyDescent="0.25">
      <c r="A20" s="6" t="s">
        <v>42</v>
      </c>
      <c r="B20" s="7">
        <v>1</v>
      </c>
      <c r="C20" s="7">
        <v>34</v>
      </c>
      <c r="D20" s="7">
        <v>-33</v>
      </c>
      <c r="E20" s="8"/>
      <c r="F20" s="8" t="s">
        <v>15</v>
      </c>
      <c r="G20" s="9" t="s">
        <v>197</v>
      </c>
    </row>
    <row r="21" spans="1:7" ht="30" customHeight="1" x14ac:dyDescent="0.25">
      <c r="A21" s="10" t="s">
        <v>44</v>
      </c>
      <c r="B21" s="11">
        <v>510</v>
      </c>
      <c r="C21" s="11">
        <v>361</v>
      </c>
      <c r="D21" s="11">
        <v>149</v>
      </c>
      <c r="E21" s="12" t="s">
        <v>8</v>
      </c>
      <c r="F21" s="12"/>
      <c r="G21" s="13" t="s">
        <v>119</v>
      </c>
    </row>
    <row r="22" spans="1:7" ht="30" customHeight="1" x14ac:dyDescent="0.25">
      <c r="A22" s="6" t="s">
        <v>46</v>
      </c>
      <c r="B22" s="7">
        <v>68</v>
      </c>
      <c r="C22" s="7">
        <v>184</v>
      </c>
      <c r="D22" s="7">
        <v>-116</v>
      </c>
      <c r="E22" s="8"/>
      <c r="F22" s="8" t="s">
        <v>15</v>
      </c>
      <c r="G22" s="9" t="s">
        <v>185</v>
      </c>
    </row>
    <row r="23" spans="1:7" ht="30" customHeight="1" x14ac:dyDescent="0.25">
      <c r="A23" s="10" t="s">
        <v>48</v>
      </c>
      <c r="B23" s="11">
        <v>479</v>
      </c>
      <c r="C23" s="11">
        <v>478</v>
      </c>
      <c r="D23" s="11">
        <v>1</v>
      </c>
      <c r="E23" s="12" t="s">
        <v>8</v>
      </c>
      <c r="F23" s="12"/>
      <c r="G23" s="13" t="s">
        <v>66</v>
      </c>
    </row>
    <row r="24" spans="1:7" ht="30" customHeight="1" x14ac:dyDescent="0.25">
      <c r="A24" s="6" t="s">
        <v>50</v>
      </c>
      <c r="B24" s="7">
        <v>1720</v>
      </c>
      <c r="C24" s="7">
        <v>1247</v>
      </c>
      <c r="D24" s="7">
        <v>473</v>
      </c>
      <c r="E24" s="8" t="s">
        <v>8</v>
      </c>
      <c r="F24" s="8"/>
      <c r="G24" s="9" t="s">
        <v>93</v>
      </c>
    </row>
    <row r="25" spans="1:7" ht="30" customHeight="1" x14ac:dyDescent="0.25">
      <c r="A25" s="10" t="s">
        <v>52</v>
      </c>
      <c r="B25" s="11">
        <v>123</v>
      </c>
      <c r="C25" s="11">
        <v>269</v>
      </c>
      <c r="D25" s="11">
        <v>-146</v>
      </c>
      <c r="E25" s="12"/>
      <c r="F25" s="12" t="s">
        <v>15</v>
      </c>
      <c r="G25" s="13" t="s">
        <v>198</v>
      </c>
    </row>
    <row r="26" spans="1:7" ht="30" customHeight="1" x14ac:dyDescent="0.25">
      <c r="A26" s="6" t="s">
        <v>54</v>
      </c>
      <c r="B26" s="7">
        <v>0</v>
      </c>
      <c r="C26" s="7">
        <v>0</v>
      </c>
      <c r="D26" s="7">
        <v>0</v>
      </c>
      <c r="E26" s="8"/>
      <c r="F26" s="8"/>
      <c r="G26" s="9"/>
    </row>
    <row r="27" spans="1:7" ht="30" customHeight="1" x14ac:dyDescent="0.25">
      <c r="A27" s="10" t="s">
        <v>55</v>
      </c>
      <c r="B27" s="11">
        <v>225</v>
      </c>
      <c r="C27" s="11">
        <v>166</v>
      </c>
      <c r="D27" s="11">
        <v>59</v>
      </c>
      <c r="E27" s="12" t="s">
        <v>8</v>
      </c>
      <c r="F27" s="12"/>
      <c r="G27" s="13" t="s">
        <v>179</v>
      </c>
    </row>
    <row r="28" spans="1:7" ht="30" customHeight="1" x14ac:dyDescent="0.25">
      <c r="A28" s="6" t="s">
        <v>57</v>
      </c>
      <c r="B28" s="7">
        <v>170</v>
      </c>
      <c r="C28" s="7">
        <v>109</v>
      </c>
      <c r="D28" s="7">
        <v>61</v>
      </c>
      <c r="E28" s="8" t="s">
        <v>8</v>
      </c>
      <c r="F28" s="8"/>
      <c r="G28" s="9" t="s">
        <v>199</v>
      </c>
    </row>
    <row r="29" spans="1:7" ht="30" customHeight="1" x14ac:dyDescent="0.25">
      <c r="A29" s="10" t="s">
        <v>59</v>
      </c>
      <c r="B29" s="11">
        <v>790</v>
      </c>
      <c r="C29" s="11">
        <v>327</v>
      </c>
      <c r="D29" s="11">
        <v>463</v>
      </c>
      <c r="E29" s="12" t="s">
        <v>8</v>
      </c>
      <c r="F29" s="12"/>
      <c r="G29" s="13" t="s">
        <v>200</v>
      </c>
    </row>
    <row r="30" spans="1:7" ht="30" customHeight="1" x14ac:dyDescent="0.25">
      <c r="A30" s="6" t="s">
        <v>61</v>
      </c>
      <c r="B30" s="7">
        <v>25</v>
      </c>
      <c r="C30" s="7">
        <v>50</v>
      </c>
      <c r="D30" s="7">
        <v>-25</v>
      </c>
      <c r="E30" s="8"/>
      <c r="F30" s="8" t="s">
        <v>15</v>
      </c>
      <c r="G30" s="9" t="s">
        <v>165</v>
      </c>
    </row>
    <row r="31" spans="1:7" ht="30" customHeight="1" x14ac:dyDescent="0.25">
      <c r="A31" s="10" t="s">
        <v>63</v>
      </c>
      <c r="B31" s="11">
        <v>92</v>
      </c>
      <c r="C31" s="11">
        <v>247</v>
      </c>
      <c r="D31" s="11">
        <v>-155</v>
      </c>
      <c r="E31" s="12"/>
      <c r="F31" s="12" t="s">
        <v>15</v>
      </c>
      <c r="G31" s="13" t="s">
        <v>185</v>
      </c>
    </row>
    <row r="32" spans="1:7" ht="30" customHeight="1" x14ac:dyDescent="0.25">
      <c r="A32" s="6" t="s">
        <v>65</v>
      </c>
      <c r="B32" s="7">
        <v>311</v>
      </c>
      <c r="C32" s="7">
        <v>457</v>
      </c>
      <c r="D32" s="7">
        <v>-146</v>
      </c>
      <c r="E32" s="8"/>
      <c r="F32" s="8" t="s">
        <v>15</v>
      </c>
      <c r="G32" s="9" t="s">
        <v>201</v>
      </c>
    </row>
    <row r="33" spans="1:7" ht="30" customHeight="1" x14ac:dyDescent="0.25">
      <c r="A33" s="10" t="s">
        <v>67</v>
      </c>
      <c r="B33" s="11">
        <v>295</v>
      </c>
      <c r="C33" s="11">
        <v>299</v>
      </c>
      <c r="D33" s="11">
        <v>-4</v>
      </c>
      <c r="E33" s="12"/>
      <c r="F33" s="12" t="s">
        <v>15</v>
      </c>
      <c r="G33" s="13" t="s">
        <v>202</v>
      </c>
    </row>
    <row r="34" spans="1:7" ht="30" customHeight="1" x14ac:dyDescent="0.25">
      <c r="A34" s="6" t="s">
        <v>69</v>
      </c>
      <c r="B34" s="7">
        <v>143</v>
      </c>
      <c r="C34" s="7">
        <v>125</v>
      </c>
      <c r="D34" s="7">
        <v>18</v>
      </c>
      <c r="E34" s="8" t="s">
        <v>8</v>
      </c>
      <c r="F34" s="8"/>
      <c r="G34" s="9" t="s">
        <v>203</v>
      </c>
    </row>
    <row r="35" spans="1:7" ht="30" customHeight="1" x14ac:dyDescent="0.25">
      <c r="A35" s="10" t="s">
        <v>71</v>
      </c>
      <c r="B35" s="11">
        <v>925</v>
      </c>
      <c r="C35" s="11">
        <v>1437</v>
      </c>
      <c r="D35" s="11">
        <v>-512</v>
      </c>
      <c r="E35" s="12"/>
      <c r="F35" s="12" t="s">
        <v>15</v>
      </c>
      <c r="G35" s="13" t="s">
        <v>132</v>
      </c>
    </row>
    <row r="36" spans="1:7" ht="30" customHeight="1" x14ac:dyDescent="0.25">
      <c r="A36" s="6" t="s">
        <v>73</v>
      </c>
      <c r="B36" s="7">
        <v>160</v>
      </c>
      <c r="C36" s="7">
        <v>509</v>
      </c>
      <c r="D36" s="7">
        <v>-349</v>
      </c>
      <c r="E36" s="8"/>
      <c r="F36" s="8" t="s">
        <v>15</v>
      </c>
      <c r="G36" s="9" t="s">
        <v>36</v>
      </c>
    </row>
    <row r="37" spans="1:7" ht="30" customHeight="1" x14ac:dyDescent="0.25">
      <c r="A37" s="10" t="s">
        <v>75</v>
      </c>
      <c r="B37" s="11">
        <v>521</v>
      </c>
      <c r="C37" s="11">
        <v>252</v>
      </c>
      <c r="D37" s="11">
        <v>269</v>
      </c>
      <c r="E37" s="12" t="s">
        <v>8</v>
      </c>
      <c r="F37" s="12"/>
      <c r="G37" s="13" t="s">
        <v>204</v>
      </c>
    </row>
    <row r="38" spans="1:7" ht="30" customHeight="1" x14ac:dyDescent="0.25">
      <c r="A38" s="6" t="s">
        <v>77</v>
      </c>
      <c r="B38" s="7">
        <v>33</v>
      </c>
      <c r="C38" s="7">
        <v>223</v>
      </c>
      <c r="D38" s="7">
        <v>-190</v>
      </c>
      <c r="E38" s="8"/>
      <c r="F38" s="8" t="s">
        <v>15</v>
      </c>
      <c r="G38" s="9" t="s">
        <v>134</v>
      </c>
    </row>
    <row r="39" spans="1:7" ht="30" customHeight="1" x14ac:dyDescent="0.25">
      <c r="A39" s="10" t="s">
        <v>79</v>
      </c>
      <c r="B39" s="11">
        <v>0</v>
      </c>
      <c r="C39" s="11">
        <v>36</v>
      </c>
      <c r="D39" s="11">
        <v>-36</v>
      </c>
      <c r="E39" s="12"/>
      <c r="F39" s="12" t="s">
        <v>15</v>
      </c>
      <c r="G39" s="13" t="s">
        <v>25</v>
      </c>
    </row>
    <row r="40" spans="1:7" ht="30" customHeight="1" x14ac:dyDescent="0.25">
      <c r="A40" s="22" t="s">
        <v>81</v>
      </c>
      <c r="B40" s="23">
        <v>4</v>
      </c>
      <c r="C40" s="23">
        <v>57</v>
      </c>
      <c r="D40" s="23">
        <v>-53</v>
      </c>
      <c r="E40" s="24"/>
      <c r="F40" s="24" t="s">
        <v>15</v>
      </c>
      <c r="G40" s="25" t="s">
        <v>121</v>
      </c>
    </row>
    <row r="41" spans="1:7" ht="30" customHeight="1" x14ac:dyDescent="0.25">
      <c r="A41" s="26" t="s">
        <v>83</v>
      </c>
      <c r="B41" s="27">
        <v>0</v>
      </c>
      <c r="C41" s="27">
        <v>10</v>
      </c>
      <c r="D41" s="27">
        <v>-10</v>
      </c>
      <c r="E41" s="28"/>
      <c r="F41" s="28" t="s">
        <v>15</v>
      </c>
      <c r="G41" s="29" t="s">
        <v>25</v>
      </c>
    </row>
    <row r="42" spans="1:7" ht="30" customHeight="1" x14ac:dyDescent="0.25">
      <c r="A42" s="22" t="s">
        <v>85</v>
      </c>
      <c r="B42" s="23">
        <v>0</v>
      </c>
      <c r="C42" s="23">
        <v>3</v>
      </c>
      <c r="D42" s="23">
        <v>-3</v>
      </c>
      <c r="E42" s="24"/>
      <c r="F42" s="24" t="s">
        <v>15</v>
      </c>
      <c r="G42" s="25" t="s">
        <v>25</v>
      </c>
    </row>
    <row r="43" spans="1:7" ht="30" customHeight="1" x14ac:dyDescent="0.25">
      <c r="A43" s="26" t="s">
        <v>87</v>
      </c>
      <c r="B43" s="27">
        <v>139</v>
      </c>
      <c r="C43" s="27">
        <v>77</v>
      </c>
      <c r="D43" s="27">
        <v>62</v>
      </c>
      <c r="E43" s="28" t="s">
        <v>8</v>
      </c>
      <c r="F43" s="28"/>
      <c r="G43" s="29" t="s">
        <v>205</v>
      </c>
    </row>
    <row r="44" spans="1:7" ht="30" customHeight="1" x14ac:dyDescent="0.25">
      <c r="A44" s="6" t="s">
        <v>89</v>
      </c>
      <c r="B44" s="7">
        <v>68</v>
      </c>
      <c r="C44" s="7">
        <v>193</v>
      </c>
      <c r="D44" s="7">
        <v>-125</v>
      </c>
      <c r="E44" s="8"/>
      <c r="F44" s="8" t="s">
        <v>15</v>
      </c>
      <c r="G44" s="9" t="s">
        <v>206</v>
      </c>
    </row>
    <row r="45" spans="1:7" ht="30" customHeight="1" x14ac:dyDescent="0.25">
      <c r="A45" s="10" t="s">
        <v>91</v>
      </c>
      <c r="B45" s="11">
        <v>470</v>
      </c>
      <c r="C45" s="11">
        <v>480</v>
      </c>
      <c r="D45" s="11">
        <v>-10</v>
      </c>
      <c r="E45" s="12"/>
      <c r="F45" s="12" t="s">
        <v>15</v>
      </c>
      <c r="G45" s="13" t="s">
        <v>178</v>
      </c>
    </row>
    <row r="46" spans="1:7" ht="30" customHeight="1" x14ac:dyDescent="0.25">
      <c r="A46" s="6" t="s">
        <v>92</v>
      </c>
      <c r="B46" s="7">
        <v>726</v>
      </c>
      <c r="C46" s="7">
        <v>503</v>
      </c>
      <c r="D46" s="7">
        <v>223</v>
      </c>
      <c r="E46" s="8" t="s">
        <v>8</v>
      </c>
      <c r="F46" s="8"/>
      <c r="G46" s="9" t="s">
        <v>207</v>
      </c>
    </row>
    <row r="47" spans="1:7" ht="30" customHeight="1" x14ac:dyDescent="0.25">
      <c r="A47" s="10" t="s">
        <v>94</v>
      </c>
      <c r="B47" s="11">
        <v>164</v>
      </c>
      <c r="C47" s="11">
        <v>491</v>
      </c>
      <c r="D47" s="11">
        <v>-327</v>
      </c>
      <c r="E47" s="12"/>
      <c r="F47" s="12" t="s">
        <v>15</v>
      </c>
      <c r="G47" s="13" t="s">
        <v>152</v>
      </c>
    </row>
    <row r="48" spans="1:7" ht="30" customHeight="1" x14ac:dyDescent="0.25">
      <c r="A48" s="6" t="s">
        <v>95</v>
      </c>
      <c r="B48" s="7">
        <v>279</v>
      </c>
      <c r="C48" s="7">
        <v>180</v>
      </c>
      <c r="D48" s="7">
        <v>99</v>
      </c>
      <c r="E48" s="8" t="s">
        <v>8</v>
      </c>
      <c r="F48" s="8"/>
      <c r="G48" s="9" t="s">
        <v>51</v>
      </c>
    </row>
    <row r="49" spans="1:7" ht="30" customHeight="1" x14ac:dyDescent="0.25">
      <c r="A49" s="10" t="s">
        <v>97</v>
      </c>
      <c r="B49" s="11">
        <v>1037</v>
      </c>
      <c r="C49" s="11">
        <v>514</v>
      </c>
      <c r="D49" s="11">
        <v>523</v>
      </c>
      <c r="E49" s="12" t="s">
        <v>8</v>
      </c>
      <c r="F49" s="12"/>
      <c r="G49" s="13" t="s">
        <v>208</v>
      </c>
    </row>
    <row r="50" spans="1:7" ht="30" customHeight="1" x14ac:dyDescent="0.25">
      <c r="A50" s="6" t="s">
        <v>99</v>
      </c>
      <c r="B50" s="7">
        <v>97</v>
      </c>
      <c r="C50" s="7">
        <v>146</v>
      </c>
      <c r="D50" s="7">
        <v>-49</v>
      </c>
      <c r="E50" s="8"/>
      <c r="F50" s="8" t="s">
        <v>15</v>
      </c>
      <c r="G50" s="9" t="s">
        <v>158</v>
      </c>
    </row>
    <row r="51" spans="1:7" ht="30" customHeight="1" x14ac:dyDescent="0.25">
      <c r="A51" s="10" t="s">
        <v>101</v>
      </c>
      <c r="B51" s="11">
        <v>313</v>
      </c>
      <c r="C51" s="11">
        <v>315</v>
      </c>
      <c r="D51" s="11">
        <v>-2</v>
      </c>
      <c r="E51" s="12"/>
      <c r="F51" s="12" t="s">
        <v>15</v>
      </c>
      <c r="G51" s="13" t="s">
        <v>202</v>
      </c>
    </row>
    <row r="52" spans="1:7" ht="30" customHeight="1" x14ac:dyDescent="0.25">
      <c r="A52" s="6" t="s">
        <v>103</v>
      </c>
      <c r="B52" s="7">
        <v>73</v>
      </c>
      <c r="C52" s="7">
        <v>214</v>
      </c>
      <c r="D52" s="7">
        <v>-141</v>
      </c>
      <c r="E52" s="8"/>
      <c r="F52" s="8" t="s">
        <v>15</v>
      </c>
      <c r="G52" s="9" t="s">
        <v>34</v>
      </c>
    </row>
    <row r="53" spans="1:7" ht="30" customHeight="1" x14ac:dyDescent="0.25">
      <c r="A53" s="10" t="s">
        <v>105</v>
      </c>
      <c r="B53" s="11">
        <v>19</v>
      </c>
      <c r="C53" s="11">
        <v>197</v>
      </c>
      <c r="D53" s="11">
        <v>-178</v>
      </c>
      <c r="E53" s="12"/>
      <c r="F53" s="12" t="s">
        <v>15</v>
      </c>
      <c r="G53" s="13" t="s">
        <v>106</v>
      </c>
    </row>
    <row r="54" spans="1:7" ht="30" customHeight="1" x14ac:dyDescent="0.25">
      <c r="A54" s="30" t="s">
        <v>107</v>
      </c>
      <c r="B54" s="31">
        <v>302</v>
      </c>
      <c r="C54" s="31">
        <v>173</v>
      </c>
      <c r="D54" s="31">
        <v>129</v>
      </c>
      <c r="E54" s="32" t="s">
        <v>8</v>
      </c>
      <c r="F54" s="32"/>
      <c r="G54" s="33" t="s">
        <v>209</v>
      </c>
    </row>
  </sheetData>
  <autoFilter ref="A1:G54" xr:uid="{00000000-0009-0000-0000-000004000000}"/>
  <conditionalFormatting sqref="E2">
    <cfRule type="expression" dxfId="60" priority="7">
      <formula>"D2&gt;0"</formula>
    </cfRule>
  </conditionalFormatting>
  <conditionalFormatting sqref="E2:E37 E40:E54">
    <cfRule type="containsText" dxfId="59" priority="6" operator="containsText" text="We borrowerd more than we lent">
      <formula>NOT(ISERROR(SEARCH("We borrowerd more than we lent",E2)))</formula>
    </cfRule>
  </conditionalFormatting>
  <conditionalFormatting sqref="F2:F37 F40:F54">
    <cfRule type="containsText" dxfId="58" priority="5" operator="containsText" text="We lent more than we borrowed">
      <formula>NOT(ISERROR(SEARCH("We lent more than we borrowed",F2)))</formula>
    </cfRule>
  </conditionalFormatting>
  <conditionalFormatting sqref="E38">
    <cfRule type="containsText" dxfId="57" priority="4" operator="containsText" text="We borrowerd more than we lent">
      <formula>NOT(ISERROR(SEARCH("We borrowerd more than we lent",E38)))</formula>
    </cfRule>
  </conditionalFormatting>
  <conditionalFormatting sqref="F38">
    <cfRule type="containsText" dxfId="56" priority="3" operator="containsText" text="We lent more than we borrowed">
      <formula>NOT(ISERROR(SEARCH("We lent more than we borrowed",F38)))</formula>
    </cfRule>
  </conditionalFormatting>
  <conditionalFormatting sqref="E39">
    <cfRule type="containsText" dxfId="55" priority="2" operator="containsText" text="We borrowerd more than we lent">
      <formula>NOT(ISERROR(SEARCH("We borrowerd more than we lent",E39)))</formula>
    </cfRule>
  </conditionalFormatting>
  <conditionalFormatting sqref="F39">
    <cfRule type="containsText" dxfId="54" priority="1" operator="containsText" text="We lent more than we borrowed">
      <formula>NOT(ISERROR(SEARCH("We lent more than we borrowed",F39)))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54"/>
  <sheetViews>
    <sheetView zoomScale="85" zoomScaleNormal="85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ColWidth="9.140625" defaultRowHeight="15" x14ac:dyDescent="0.25"/>
  <cols>
    <col min="1" max="1" width="45.7109375" customWidth="1"/>
    <col min="2" max="3" width="30.7109375" customWidth="1"/>
    <col min="4" max="4" width="20.7109375" customWidth="1"/>
    <col min="5" max="6" width="25.7109375" style="34" customWidth="1"/>
    <col min="7" max="7" width="28.7109375" customWidth="1"/>
  </cols>
  <sheetData>
    <row r="1" spans="1:7" s="5" customFormat="1" ht="30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4" t="s">
        <v>6</v>
      </c>
    </row>
    <row r="2" spans="1:7" ht="30" customHeight="1" x14ac:dyDescent="0.25">
      <c r="A2" s="6" t="s">
        <v>7</v>
      </c>
      <c r="B2" s="7">
        <v>1359</v>
      </c>
      <c r="C2" s="7">
        <v>973</v>
      </c>
      <c r="D2" s="7">
        <v>386</v>
      </c>
      <c r="E2" s="8" t="s">
        <v>8</v>
      </c>
      <c r="F2" s="8"/>
      <c r="G2" s="9" t="s">
        <v>173</v>
      </c>
    </row>
    <row r="3" spans="1:7" ht="30" customHeight="1" x14ac:dyDescent="0.25">
      <c r="A3" s="10" t="s">
        <v>10</v>
      </c>
      <c r="B3" s="11">
        <v>719</v>
      </c>
      <c r="C3" s="11">
        <v>361</v>
      </c>
      <c r="D3" s="11">
        <v>358</v>
      </c>
      <c r="E3" s="12" t="s">
        <v>8</v>
      </c>
      <c r="F3" s="12"/>
      <c r="G3" s="13" t="s">
        <v>166</v>
      </c>
    </row>
    <row r="4" spans="1:7" ht="30" customHeight="1" x14ac:dyDescent="0.25">
      <c r="A4" s="6" t="s">
        <v>12</v>
      </c>
      <c r="B4" s="7">
        <v>1254</v>
      </c>
      <c r="C4" s="7">
        <v>1047</v>
      </c>
      <c r="D4" s="7">
        <v>207</v>
      </c>
      <c r="E4" s="8" t="s">
        <v>8</v>
      </c>
      <c r="F4" s="8"/>
      <c r="G4" s="9" t="s">
        <v>109</v>
      </c>
    </row>
    <row r="5" spans="1:7" ht="30" customHeight="1" x14ac:dyDescent="0.25">
      <c r="A5" s="10" t="s">
        <v>14</v>
      </c>
      <c r="B5" s="11">
        <v>36</v>
      </c>
      <c r="C5" s="11">
        <v>121</v>
      </c>
      <c r="D5" s="11">
        <v>-85</v>
      </c>
      <c r="E5" s="12"/>
      <c r="F5" s="12" t="s">
        <v>15</v>
      </c>
      <c r="G5" s="13" t="s">
        <v>160</v>
      </c>
    </row>
    <row r="6" spans="1:7" ht="30" customHeight="1" x14ac:dyDescent="0.25">
      <c r="A6" s="6" t="s">
        <v>17</v>
      </c>
      <c r="B6" s="7">
        <v>956</v>
      </c>
      <c r="C6" s="7">
        <v>999</v>
      </c>
      <c r="D6" s="7">
        <v>-43</v>
      </c>
      <c r="E6" s="8"/>
      <c r="F6" s="8" t="s">
        <v>15</v>
      </c>
      <c r="G6" s="9" t="s">
        <v>148</v>
      </c>
    </row>
    <row r="7" spans="1:7" ht="30" customHeight="1" x14ac:dyDescent="0.25">
      <c r="A7" s="10" t="s">
        <v>19</v>
      </c>
      <c r="B7" s="11">
        <v>240</v>
      </c>
      <c r="C7" s="11">
        <v>190</v>
      </c>
      <c r="D7" s="11">
        <v>50</v>
      </c>
      <c r="E7" s="12" t="s">
        <v>8</v>
      </c>
      <c r="F7" s="12"/>
      <c r="G7" s="13" t="s">
        <v>145</v>
      </c>
    </row>
    <row r="8" spans="1:7" ht="30" customHeight="1" x14ac:dyDescent="0.25">
      <c r="A8" s="6" t="s">
        <v>21</v>
      </c>
      <c r="B8" s="7">
        <v>103</v>
      </c>
      <c r="C8" s="7">
        <v>159</v>
      </c>
      <c r="D8" s="7">
        <v>-56</v>
      </c>
      <c r="E8" s="8"/>
      <c r="F8" s="8" t="s">
        <v>15</v>
      </c>
      <c r="G8" s="9" t="s">
        <v>22</v>
      </c>
    </row>
    <row r="9" spans="1:7" ht="30" customHeight="1" x14ac:dyDescent="0.25">
      <c r="A9" s="10" t="s">
        <v>23</v>
      </c>
      <c r="B9" s="11">
        <v>68</v>
      </c>
      <c r="C9" s="11">
        <v>39</v>
      </c>
      <c r="D9" s="11">
        <v>29</v>
      </c>
      <c r="E9" s="12" t="s">
        <v>8</v>
      </c>
      <c r="F9" s="12"/>
      <c r="G9" s="13" t="s">
        <v>210</v>
      </c>
    </row>
    <row r="10" spans="1:7" ht="30" customHeight="1" x14ac:dyDescent="0.25">
      <c r="A10" s="6" t="s">
        <v>24</v>
      </c>
      <c r="B10" s="7">
        <v>0</v>
      </c>
      <c r="C10" s="7">
        <v>14</v>
      </c>
      <c r="D10" s="7">
        <v>-14</v>
      </c>
      <c r="E10" s="8"/>
      <c r="F10" s="8" t="s">
        <v>15</v>
      </c>
      <c r="G10" s="9" t="s">
        <v>25</v>
      </c>
    </row>
    <row r="11" spans="1:7" ht="30" customHeight="1" x14ac:dyDescent="0.25">
      <c r="A11" s="10" t="s">
        <v>26</v>
      </c>
      <c r="B11" s="11">
        <v>0</v>
      </c>
      <c r="C11" s="11">
        <v>0</v>
      </c>
      <c r="D11" s="11">
        <v>0</v>
      </c>
      <c r="E11" s="12"/>
      <c r="F11" s="12"/>
      <c r="G11" s="13"/>
    </row>
    <row r="12" spans="1:7" ht="30" customHeight="1" x14ac:dyDescent="0.25">
      <c r="A12" s="14" t="s">
        <v>27</v>
      </c>
      <c r="B12" s="15">
        <v>4</v>
      </c>
      <c r="C12" s="15">
        <v>24</v>
      </c>
      <c r="D12" s="15">
        <v>-20</v>
      </c>
      <c r="E12" s="16"/>
      <c r="F12" s="16" t="s">
        <v>15</v>
      </c>
      <c r="G12" s="17" t="s">
        <v>211</v>
      </c>
    </row>
    <row r="13" spans="1:7" ht="30" customHeight="1" x14ac:dyDescent="0.25">
      <c r="A13" s="18" t="s">
        <v>29</v>
      </c>
      <c r="B13" s="19">
        <v>27</v>
      </c>
      <c r="C13" s="19">
        <v>53</v>
      </c>
      <c r="D13" s="19">
        <v>-26</v>
      </c>
      <c r="E13" s="20"/>
      <c r="F13" s="20" t="s">
        <v>15</v>
      </c>
      <c r="G13" s="21" t="s">
        <v>155</v>
      </c>
    </row>
    <row r="14" spans="1:7" ht="30" customHeight="1" x14ac:dyDescent="0.25">
      <c r="A14" s="14" t="s">
        <v>31</v>
      </c>
      <c r="B14" s="15">
        <v>107</v>
      </c>
      <c r="C14" s="15">
        <v>295</v>
      </c>
      <c r="D14" s="15">
        <v>-188</v>
      </c>
      <c r="E14" s="16"/>
      <c r="F14" s="16" t="s">
        <v>15</v>
      </c>
      <c r="G14" s="17" t="s">
        <v>128</v>
      </c>
    </row>
    <row r="15" spans="1:7" ht="30" customHeight="1" x14ac:dyDescent="0.25">
      <c r="A15" s="18" t="s">
        <v>33</v>
      </c>
      <c r="B15" s="19">
        <v>56</v>
      </c>
      <c r="C15" s="19">
        <v>135</v>
      </c>
      <c r="D15" s="19">
        <v>-79</v>
      </c>
      <c r="E15" s="20"/>
      <c r="F15" s="20" t="s">
        <v>15</v>
      </c>
      <c r="G15" s="21" t="s">
        <v>90</v>
      </c>
    </row>
    <row r="16" spans="1:7" ht="30" customHeight="1" x14ac:dyDescent="0.25">
      <c r="A16" s="6" t="s">
        <v>35</v>
      </c>
      <c r="B16" s="7">
        <v>53</v>
      </c>
      <c r="C16" s="7">
        <v>143</v>
      </c>
      <c r="D16" s="7">
        <v>-90</v>
      </c>
      <c r="E16" s="8"/>
      <c r="F16" s="8" t="s">
        <v>15</v>
      </c>
      <c r="G16" s="9" t="s">
        <v>185</v>
      </c>
    </row>
    <row r="17" spans="1:7" ht="30" customHeight="1" x14ac:dyDescent="0.25">
      <c r="A17" s="10" t="s">
        <v>37</v>
      </c>
      <c r="B17" s="11">
        <v>670</v>
      </c>
      <c r="C17" s="11">
        <v>416</v>
      </c>
      <c r="D17" s="11">
        <v>254</v>
      </c>
      <c r="E17" s="12" t="s">
        <v>8</v>
      </c>
      <c r="F17" s="12"/>
      <c r="G17" s="13" t="s">
        <v>41</v>
      </c>
    </row>
    <row r="18" spans="1:7" ht="30" customHeight="1" x14ac:dyDescent="0.25">
      <c r="A18" s="6" t="s">
        <v>38</v>
      </c>
      <c r="B18" s="7">
        <v>77</v>
      </c>
      <c r="C18" s="7">
        <v>80</v>
      </c>
      <c r="D18" s="7">
        <v>-3</v>
      </c>
      <c r="E18" s="8"/>
      <c r="F18" s="8" t="s">
        <v>15</v>
      </c>
      <c r="G18" s="9" t="s">
        <v>148</v>
      </c>
    </row>
    <row r="19" spans="1:7" ht="30" customHeight="1" x14ac:dyDescent="0.25">
      <c r="A19" s="10" t="s">
        <v>40</v>
      </c>
      <c r="B19" s="11">
        <v>400</v>
      </c>
      <c r="C19" s="11">
        <v>318</v>
      </c>
      <c r="D19" s="11">
        <v>82</v>
      </c>
      <c r="E19" s="12" t="s">
        <v>8</v>
      </c>
      <c r="F19" s="12"/>
      <c r="G19" s="13" t="s">
        <v>145</v>
      </c>
    </row>
    <row r="20" spans="1:7" ht="30" customHeight="1" x14ac:dyDescent="0.25">
      <c r="A20" s="6" t="s">
        <v>42</v>
      </c>
      <c r="B20" s="7">
        <v>1</v>
      </c>
      <c r="C20" s="7">
        <v>30</v>
      </c>
      <c r="D20" s="7">
        <v>-29</v>
      </c>
      <c r="E20" s="8"/>
      <c r="F20" s="8" t="s">
        <v>15</v>
      </c>
      <c r="G20" s="9" t="s">
        <v>197</v>
      </c>
    </row>
    <row r="21" spans="1:7" ht="30" customHeight="1" x14ac:dyDescent="0.25">
      <c r="A21" s="10" t="s">
        <v>44</v>
      </c>
      <c r="B21" s="11">
        <v>464</v>
      </c>
      <c r="C21" s="11">
        <v>339</v>
      </c>
      <c r="D21" s="11">
        <v>125</v>
      </c>
      <c r="E21" s="12" t="s">
        <v>8</v>
      </c>
      <c r="F21" s="12"/>
      <c r="G21" s="13" t="s">
        <v>116</v>
      </c>
    </row>
    <row r="22" spans="1:7" ht="30" customHeight="1" x14ac:dyDescent="0.25">
      <c r="A22" s="6" t="s">
        <v>46</v>
      </c>
      <c r="B22" s="7">
        <v>79</v>
      </c>
      <c r="C22" s="7">
        <v>215</v>
      </c>
      <c r="D22" s="7">
        <v>-136</v>
      </c>
      <c r="E22" s="8"/>
      <c r="F22" s="8" t="s">
        <v>15</v>
      </c>
      <c r="G22" s="9" t="s">
        <v>185</v>
      </c>
    </row>
    <row r="23" spans="1:7" ht="30" customHeight="1" x14ac:dyDescent="0.25">
      <c r="A23" s="10" t="s">
        <v>48</v>
      </c>
      <c r="B23" s="11">
        <v>584</v>
      </c>
      <c r="C23" s="11">
        <v>655</v>
      </c>
      <c r="D23" s="11">
        <v>-71</v>
      </c>
      <c r="E23" s="12"/>
      <c r="F23" s="12" t="s">
        <v>15</v>
      </c>
      <c r="G23" s="13" t="s">
        <v>212</v>
      </c>
    </row>
    <row r="24" spans="1:7" ht="30" customHeight="1" x14ac:dyDescent="0.25">
      <c r="A24" s="6" t="s">
        <v>50</v>
      </c>
      <c r="B24" s="7">
        <v>1572</v>
      </c>
      <c r="C24" s="7">
        <v>1413</v>
      </c>
      <c r="D24" s="7">
        <v>159</v>
      </c>
      <c r="E24" s="8" t="s">
        <v>8</v>
      </c>
      <c r="F24" s="8"/>
      <c r="G24" s="9" t="s">
        <v>9</v>
      </c>
    </row>
    <row r="25" spans="1:7" ht="30" customHeight="1" x14ac:dyDescent="0.25">
      <c r="A25" s="10" t="s">
        <v>52</v>
      </c>
      <c r="B25" s="11">
        <v>151</v>
      </c>
      <c r="C25" s="11">
        <v>355</v>
      </c>
      <c r="D25" s="11">
        <v>-204</v>
      </c>
      <c r="E25" s="12"/>
      <c r="F25" s="12" t="s">
        <v>15</v>
      </c>
      <c r="G25" s="13" t="s">
        <v>213</v>
      </c>
    </row>
    <row r="26" spans="1:7" ht="30" customHeight="1" x14ac:dyDescent="0.25">
      <c r="A26" s="6" t="s">
        <v>54</v>
      </c>
      <c r="B26" s="7">
        <v>0</v>
      </c>
      <c r="C26" s="7">
        <v>0</v>
      </c>
      <c r="D26" s="7">
        <v>0</v>
      </c>
      <c r="E26" s="8"/>
      <c r="F26" s="8"/>
      <c r="G26" s="9"/>
    </row>
    <row r="27" spans="1:7" ht="30" customHeight="1" x14ac:dyDescent="0.25">
      <c r="A27" s="10" t="s">
        <v>55</v>
      </c>
      <c r="B27" s="11">
        <v>225</v>
      </c>
      <c r="C27" s="11">
        <v>181</v>
      </c>
      <c r="D27" s="11">
        <v>44</v>
      </c>
      <c r="E27" s="12" t="s">
        <v>8</v>
      </c>
      <c r="F27" s="12"/>
      <c r="G27" s="13" t="s">
        <v>214</v>
      </c>
    </row>
    <row r="28" spans="1:7" ht="30" customHeight="1" x14ac:dyDescent="0.25">
      <c r="A28" s="6" t="s">
        <v>57</v>
      </c>
      <c r="B28" s="7">
        <v>160</v>
      </c>
      <c r="C28" s="7">
        <v>93</v>
      </c>
      <c r="D28" s="7">
        <v>67</v>
      </c>
      <c r="E28" s="8" t="s">
        <v>8</v>
      </c>
      <c r="F28" s="8"/>
      <c r="G28" s="9" t="s">
        <v>139</v>
      </c>
    </row>
    <row r="29" spans="1:7" ht="30" customHeight="1" x14ac:dyDescent="0.25">
      <c r="A29" s="10" t="s">
        <v>59</v>
      </c>
      <c r="B29" s="11">
        <v>882</v>
      </c>
      <c r="C29" s="11">
        <v>447</v>
      </c>
      <c r="D29" s="11">
        <v>435</v>
      </c>
      <c r="E29" s="12" t="s">
        <v>8</v>
      </c>
      <c r="F29" s="12"/>
      <c r="G29" s="13" t="s">
        <v>215</v>
      </c>
    </row>
    <row r="30" spans="1:7" ht="30" customHeight="1" x14ac:dyDescent="0.25">
      <c r="A30" s="6" t="s">
        <v>61</v>
      </c>
      <c r="B30" s="7">
        <v>20</v>
      </c>
      <c r="C30" s="7">
        <v>34</v>
      </c>
      <c r="D30" s="7">
        <v>-14</v>
      </c>
      <c r="E30" s="8"/>
      <c r="F30" s="8" t="s">
        <v>15</v>
      </c>
      <c r="G30" s="9" t="s">
        <v>115</v>
      </c>
    </row>
    <row r="31" spans="1:7" ht="30" customHeight="1" x14ac:dyDescent="0.25">
      <c r="A31" s="10" t="s">
        <v>63</v>
      </c>
      <c r="B31" s="11">
        <v>94</v>
      </c>
      <c r="C31" s="11">
        <v>263</v>
      </c>
      <c r="D31" s="11">
        <v>-169</v>
      </c>
      <c r="E31" s="12"/>
      <c r="F31" s="12" t="s">
        <v>15</v>
      </c>
      <c r="G31" s="13" t="s">
        <v>128</v>
      </c>
    </row>
    <row r="32" spans="1:7" ht="30" customHeight="1" x14ac:dyDescent="0.25">
      <c r="A32" s="6" t="s">
        <v>65</v>
      </c>
      <c r="B32" s="7">
        <v>335</v>
      </c>
      <c r="C32" s="7">
        <v>497</v>
      </c>
      <c r="D32" s="7">
        <v>-162</v>
      </c>
      <c r="E32" s="8"/>
      <c r="F32" s="8" t="s">
        <v>15</v>
      </c>
      <c r="G32" s="9" t="s">
        <v>216</v>
      </c>
    </row>
    <row r="33" spans="1:7" ht="30" customHeight="1" x14ac:dyDescent="0.25">
      <c r="A33" s="10" t="s">
        <v>67</v>
      </c>
      <c r="B33" s="11">
        <v>348</v>
      </c>
      <c r="C33" s="11">
        <v>271</v>
      </c>
      <c r="D33" s="11">
        <v>77</v>
      </c>
      <c r="E33" s="12" t="s">
        <v>8</v>
      </c>
      <c r="F33" s="12"/>
      <c r="G33" s="13" t="s">
        <v>96</v>
      </c>
    </row>
    <row r="34" spans="1:7" ht="30" customHeight="1" x14ac:dyDescent="0.25">
      <c r="A34" s="6" t="s">
        <v>69</v>
      </c>
      <c r="B34" s="7">
        <v>147</v>
      </c>
      <c r="C34" s="7">
        <v>121</v>
      </c>
      <c r="D34" s="7">
        <v>26</v>
      </c>
      <c r="E34" s="8" t="s">
        <v>8</v>
      </c>
      <c r="F34" s="8"/>
      <c r="G34" s="9" t="s">
        <v>20</v>
      </c>
    </row>
    <row r="35" spans="1:7" ht="30" customHeight="1" x14ac:dyDescent="0.25">
      <c r="A35" s="10" t="s">
        <v>71</v>
      </c>
      <c r="B35" s="11">
        <v>1031</v>
      </c>
      <c r="C35" s="11">
        <v>1566</v>
      </c>
      <c r="D35" s="11">
        <v>-535</v>
      </c>
      <c r="E35" s="12"/>
      <c r="F35" s="12" t="s">
        <v>15</v>
      </c>
      <c r="G35" s="13" t="s">
        <v>158</v>
      </c>
    </row>
    <row r="36" spans="1:7" ht="30" customHeight="1" x14ac:dyDescent="0.25">
      <c r="A36" s="6" t="s">
        <v>73</v>
      </c>
      <c r="B36" s="7">
        <v>176</v>
      </c>
      <c r="C36" s="7">
        <v>567</v>
      </c>
      <c r="D36" s="7">
        <v>-391</v>
      </c>
      <c r="E36" s="8"/>
      <c r="F36" s="8" t="s">
        <v>15</v>
      </c>
      <c r="G36" s="9" t="s">
        <v>36</v>
      </c>
    </row>
    <row r="37" spans="1:7" ht="30" customHeight="1" x14ac:dyDescent="0.25">
      <c r="A37" s="10" t="s">
        <v>75</v>
      </c>
      <c r="B37" s="11">
        <v>550</v>
      </c>
      <c r="C37" s="11">
        <v>382</v>
      </c>
      <c r="D37" s="11">
        <v>168</v>
      </c>
      <c r="E37" s="12" t="s">
        <v>8</v>
      </c>
      <c r="F37" s="12"/>
      <c r="G37" s="13" t="s">
        <v>207</v>
      </c>
    </row>
    <row r="38" spans="1:7" ht="30" customHeight="1" x14ac:dyDescent="0.25">
      <c r="A38" s="6" t="s">
        <v>77</v>
      </c>
      <c r="B38" s="7">
        <v>78</v>
      </c>
      <c r="C38" s="7">
        <v>228</v>
      </c>
      <c r="D38" s="7">
        <v>-150</v>
      </c>
      <c r="E38" s="8"/>
      <c r="F38" s="8" t="s">
        <v>15</v>
      </c>
      <c r="G38" s="9" t="s">
        <v>34</v>
      </c>
    </row>
    <row r="39" spans="1:7" ht="30" customHeight="1" x14ac:dyDescent="0.25">
      <c r="A39" s="10" t="s">
        <v>79</v>
      </c>
      <c r="B39" s="11">
        <v>0</v>
      </c>
      <c r="C39" s="11">
        <v>10</v>
      </c>
      <c r="D39" s="11">
        <v>-10</v>
      </c>
      <c r="E39" s="12"/>
      <c r="F39" s="12" t="s">
        <v>15</v>
      </c>
      <c r="G39" s="13" t="s">
        <v>25</v>
      </c>
    </row>
    <row r="40" spans="1:7" ht="30" customHeight="1" x14ac:dyDescent="0.25">
      <c r="A40" s="22" t="s">
        <v>81</v>
      </c>
      <c r="B40" s="23">
        <v>0</v>
      </c>
      <c r="C40" s="23">
        <v>1</v>
      </c>
      <c r="D40" s="23">
        <v>-1</v>
      </c>
      <c r="E40" s="24"/>
      <c r="F40" s="24" t="s">
        <v>15</v>
      </c>
      <c r="G40" s="25" t="s">
        <v>25</v>
      </c>
    </row>
    <row r="41" spans="1:7" ht="30" customHeight="1" x14ac:dyDescent="0.25">
      <c r="A41" s="26" t="s">
        <v>83</v>
      </c>
      <c r="B41" s="27">
        <v>1</v>
      </c>
      <c r="C41" s="27">
        <v>6</v>
      </c>
      <c r="D41" s="27">
        <v>-5</v>
      </c>
      <c r="E41" s="28"/>
      <c r="F41" s="28" t="s">
        <v>15</v>
      </c>
      <c r="G41" s="29" t="s">
        <v>211</v>
      </c>
    </row>
    <row r="42" spans="1:7" ht="30" customHeight="1" x14ac:dyDescent="0.25">
      <c r="A42" s="22" t="s">
        <v>85</v>
      </c>
      <c r="B42" s="23">
        <v>0</v>
      </c>
      <c r="C42" s="23">
        <v>4</v>
      </c>
      <c r="D42" s="23">
        <v>-4</v>
      </c>
      <c r="E42" s="24"/>
      <c r="F42" s="24" t="s">
        <v>15</v>
      </c>
      <c r="G42" s="25" t="s">
        <v>25</v>
      </c>
    </row>
    <row r="43" spans="1:7" ht="30" customHeight="1" x14ac:dyDescent="0.25">
      <c r="A43" s="26" t="s">
        <v>87</v>
      </c>
      <c r="B43" s="27">
        <v>40</v>
      </c>
      <c r="C43" s="27">
        <v>113</v>
      </c>
      <c r="D43" s="27">
        <v>-73</v>
      </c>
      <c r="E43" s="28"/>
      <c r="F43" s="28" t="s">
        <v>15</v>
      </c>
      <c r="G43" s="29" t="s">
        <v>206</v>
      </c>
    </row>
    <row r="44" spans="1:7" ht="30" customHeight="1" x14ac:dyDescent="0.25">
      <c r="A44" s="6" t="s">
        <v>89</v>
      </c>
      <c r="B44" s="7">
        <v>70</v>
      </c>
      <c r="C44" s="7">
        <v>176</v>
      </c>
      <c r="D44" s="7">
        <v>-106</v>
      </c>
      <c r="E44" s="8"/>
      <c r="F44" s="8" t="s">
        <v>15</v>
      </c>
      <c r="G44" s="9" t="s">
        <v>47</v>
      </c>
    </row>
    <row r="45" spans="1:7" ht="30" customHeight="1" x14ac:dyDescent="0.25">
      <c r="A45" s="10" t="s">
        <v>91</v>
      </c>
      <c r="B45" s="11">
        <v>444</v>
      </c>
      <c r="C45" s="11">
        <v>552</v>
      </c>
      <c r="D45" s="11">
        <v>-108</v>
      </c>
      <c r="E45" s="12"/>
      <c r="F45" s="12" t="s">
        <v>15</v>
      </c>
      <c r="G45" s="13" t="s">
        <v>182</v>
      </c>
    </row>
    <row r="46" spans="1:7" ht="30" customHeight="1" x14ac:dyDescent="0.25">
      <c r="A46" s="6" t="s">
        <v>92</v>
      </c>
      <c r="B46" s="7">
        <v>782</v>
      </c>
      <c r="C46" s="7">
        <v>491</v>
      </c>
      <c r="D46" s="7">
        <v>291</v>
      </c>
      <c r="E46" s="8" t="s">
        <v>8</v>
      </c>
      <c r="F46" s="8"/>
      <c r="G46" s="9" t="s">
        <v>217</v>
      </c>
    </row>
    <row r="47" spans="1:7" ht="30" customHeight="1" x14ac:dyDescent="0.25">
      <c r="A47" s="10" t="s">
        <v>94</v>
      </c>
      <c r="B47" s="11">
        <v>233</v>
      </c>
      <c r="C47" s="11">
        <v>494</v>
      </c>
      <c r="D47" s="11">
        <v>-261</v>
      </c>
      <c r="E47" s="12"/>
      <c r="F47" s="12" t="s">
        <v>15</v>
      </c>
      <c r="G47" s="13" t="s">
        <v>123</v>
      </c>
    </row>
    <row r="48" spans="1:7" ht="30" customHeight="1" x14ac:dyDescent="0.25">
      <c r="A48" s="6" t="s">
        <v>95</v>
      </c>
      <c r="B48" s="7">
        <v>251</v>
      </c>
      <c r="C48" s="7">
        <v>187</v>
      </c>
      <c r="D48" s="7">
        <v>64</v>
      </c>
      <c r="E48" s="8" t="s">
        <v>8</v>
      </c>
      <c r="F48" s="8"/>
      <c r="G48" s="9" t="s">
        <v>218</v>
      </c>
    </row>
    <row r="49" spans="1:7" ht="30" customHeight="1" x14ac:dyDescent="0.25">
      <c r="A49" s="10" t="s">
        <v>97</v>
      </c>
      <c r="B49" s="11">
        <v>985</v>
      </c>
      <c r="C49" s="11">
        <v>462</v>
      </c>
      <c r="D49" s="11">
        <v>523</v>
      </c>
      <c r="E49" s="12" t="s">
        <v>8</v>
      </c>
      <c r="F49" s="12"/>
      <c r="G49" s="13" t="s">
        <v>120</v>
      </c>
    </row>
    <row r="50" spans="1:7" ht="30" customHeight="1" x14ac:dyDescent="0.25">
      <c r="A50" s="6" t="s">
        <v>99</v>
      </c>
      <c r="B50" s="7">
        <v>107</v>
      </c>
      <c r="C50" s="7">
        <v>152</v>
      </c>
      <c r="D50" s="7">
        <v>-45</v>
      </c>
      <c r="E50" s="8"/>
      <c r="F50" s="8" t="s">
        <v>15</v>
      </c>
      <c r="G50" s="9" t="s">
        <v>156</v>
      </c>
    </row>
    <row r="51" spans="1:7" ht="30" customHeight="1" x14ac:dyDescent="0.25">
      <c r="A51" s="10" t="s">
        <v>101</v>
      </c>
      <c r="B51" s="11">
        <v>341</v>
      </c>
      <c r="C51" s="11">
        <v>381</v>
      </c>
      <c r="D51" s="11">
        <v>-40</v>
      </c>
      <c r="E51" s="12"/>
      <c r="F51" s="12" t="s">
        <v>15</v>
      </c>
      <c r="G51" s="13" t="s">
        <v>219</v>
      </c>
    </row>
    <row r="52" spans="1:7" ht="30" customHeight="1" x14ac:dyDescent="0.25">
      <c r="A52" s="6" t="s">
        <v>103</v>
      </c>
      <c r="B52" s="7">
        <v>55</v>
      </c>
      <c r="C52" s="7">
        <v>222</v>
      </c>
      <c r="D52" s="7">
        <v>-167</v>
      </c>
      <c r="E52" s="8"/>
      <c r="F52" s="8" t="s">
        <v>15</v>
      </c>
      <c r="G52" s="9" t="s">
        <v>187</v>
      </c>
    </row>
    <row r="53" spans="1:7" ht="30" customHeight="1" x14ac:dyDescent="0.25">
      <c r="A53" s="10" t="s">
        <v>105</v>
      </c>
      <c r="B53" s="11">
        <v>27</v>
      </c>
      <c r="C53" s="11">
        <v>263</v>
      </c>
      <c r="D53" s="11">
        <v>-236</v>
      </c>
      <c r="E53" s="12"/>
      <c r="F53" s="12" t="s">
        <v>15</v>
      </c>
      <c r="G53" s="13" t="s">
        <v>106</v>
      </c>
    </row>
    <row r="54" spans="1:7" ht="30" customHeight="1" x14ac:dyDescent="0.25">
      <c r="A54" s="30" t="s">
        <v>107</v>
      </c>
      <c r="B54" s="31">
        <v>399</v>
      </c>
      <c r="C54" s="31">
        <v>223</v>
      </c>
      <c r="D54" s="31">
        <v>176</v>
      </c>
      <c r="E54" s="32" t="s">
        <v>8</v>
      </c>
      <c r="F54" s="32"/>
      <c r="G54" s="33" t="s">
        <v>220</v>
      </c>
    </row>
  </sheetData>
  <autoFilter ref="A1:G54" xr:uid="{00000000-0009-0000-0000-000005000000}"/>
  <conditionalFormatting sqref="E2">
    <cfRule type="expression" dxfId="53" priority="7">
      <formula>"D2&gt;0"</formula>
    </cfRule>
  </conditionalFormatting>
  <conditionalFormatting sqref="E2:E37 E40:E54">
    <cfRule type="containsText" dxfId="52" priority="6" operator="containsText" text="We borrowerd more than we lent">
      <formula>NOT(ISERROR(SEARCH("We borrowerd more than we lent",E2)))</formula>
    </cfRule>
  </conditionalFormatting>
  <conditionalFormatting sqref="F2:F37 F40:F54">
    <cfRule type="containsText" dxfId="51" priority="5" operator="containsText" text="We lent more than we borrowed">
      <formula>NOT(ISERROR(SEARCH("We lent more than we borrowed",F2)))</formula>
    </cfRule>
  </conditionalFormatting>
  <conditionalFormatting sqref="E38">
    <cfRule type="containsText" dxfId="50" priority="4" operator="containsText" text="We borrowerd more than we lent">
      <formula>NOT(ISERROR(SEARCH("We borrowerd more than we lent",E38)))</formula>
    </cfRule>
  </conditionalFormatting>
  <conditionalFormatting sqref="F38">
    <cfRule type="containsText" dxfId="49" priority="3" operator="containsText" text="We lent more than we borrowed">
      <formula>NOT(ISERROR(SEARCH("We lent more than we borrowed",F38)))</formula>
    </cfRule>
  </conditionalFormatting>
  <conditionalFormatting sqref="E39">
    <cfRule type="containsText" dxfId="48" priority="2" operator="containsText" text="We borrowerd more than we lent">
      <formula>NOT(ISERROR(SEARCH("We borrowerd more than we lent",E39)))</formula>
    </cfRule>
  </conditionalFormatting>
  <conditionalFormatting sqref="F39">
    <cfRule type="containsText" dxfId="47" priority="1" operator="containsText" text="We lent more than we borrowed">
      <formula>NOT(ISERROR(SEARCH("We lent more than we borrowed",F39)))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G54"/>
  <sheetViews>
    <sheetView zoomScale="85" zoomScaleNormal="85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ColWidth="9.140625" defaultRowHeight="15" x14ac:dyDescent="0.25"/>
  <cols>
    <col min="1" max="1" width="45.7109375" customWidth="1"/>
    <col min="2" max="3" width="30.7109375" customWidth="1"/>
    <col min="4" max="4" width="20.7109375" customWidth="1"/>
    <col min="5" max="6" width="25.7109375" style="34" customWidth="1"/>
    <col min="7" max="7" width="28.7109375" customWidth="1"/>
  </cols>
  <sheetData>
    <row r="1" spans="1:7" s="5" customFormat="1" ht="30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4" t="s">
        <v>6</v>
      </c>
    </row>
    <row r="2" spans="1:7" ht="30" customHeight="1" x14ac:dyDescent="0.25">
      <c r="A2" s="6" t="s">
        <v>7</v>
      </c>
      <c r="B2" s="7">
        <v>1459</v>
      </c>
      <c r="C2" s="7">
        <v>1173</v>
      </c>
      <c r="D2" s="7">
        <v>286</v>
      </c>
      <c r="E2" s="8" t="s">
        <v>8</v>
      </c>
      <c r="F2" s="8"/>
      <c r="G2" s="9" t="s">
        <v>214</v>
      </c>
    </row>
    <row r="3" spans="1:7" ht="30" customHeight="1" x14ac:dyDescent="0.25">
      <c r="A3" s="10" t="s">
        <v>10</v>
      </c>
      <c r="B3" s="11">
        <v>771</v>
      </c>
      <c r="C3" s="11">
        <v>346</v>
      </c>
      <c r="D3" s="11">
        <v>425</v>
      </c>
      <c r="E3" s="12" t="s">
        <v>8</v>
      </c>
      <c r="F3" s="12"/>
      <c r="G3" s="13" t="s">
        <v>221</v>
      </c>
    </row>
    <row r="4" spans="1:7" ht="30" customHeight="1" x14ac:dyDescent="0.25">
      <c r="A4" s="6" t="s">
        <v>12</v>
      </c>
      <c r="B4" s="7">
        <v>1270</v>
      </c>
      <c r="C4" s="7">
        <v>1062</v>
      </c>
      <c r="D4" s="7">
        <v>208</v>
      </c>
      <c r="E4" s="8" t="s">
        <v>8</v>
      </c>
      <c r="F4" s="8"/>
      <c r="G4" s="9" t="s">
        <v>109</v>
      </c>
    </row>
    <row r="5" spans="1:7" ht="30" customHeight="1" x14ac:dyDescent="0.25">
      <c r="A5" s="10" t="s">
        <v>14</v>
      </c>
      <c r="B5" s="11">
        <v>31</v>
      </c>
      <c r="C5" s="11">
        <v>105</v>
      </c>
      <c r="D5" s="11">
        <v>-74</v>
      </c>
      <c r="E5" s="12"/>
      <c r="F5" s="12" t="s">
        <v>15</v>
      </c>
      <c r="G5" s="13" t="s">
        <v>160</v>
      </c>
    </row>
    <row r="6" spans="1:7" ht="30" customHeight="1" x14ac:dyDescent="0.25">
      <c r="A6" s="6" t="s">
        <v>17</v>
      </c>
      <c r="B6" s="7">
        <v>920</v>
      </c>
      <c r="C6" s="7">
        <v>1082</v>
      </c>
      <c r="D6" s="7">
        <v>-162</v>
      </c>
      <c r="E6" s="8"/>
      <c r="F6" s="8" t="s">
        <v>15</v>
      </c>
      <c r="G6" s="9" t="s">
        <v>191</v>
      </c>
    </row>
    <row r="7" spans="1:7" ht="30" customHeight="1" x14ac:dyDescent="0.25">
      <c r="A7" s="10" t="s">
        <v>19</v>
      </c>
      <c r="B7" s="11">
        <v>273</v>
      </c>
      <c r="C7" s="11">
        <v>169</v>
      </c>
      <c r="D7" s="11">
        <v>104</v>
      </c>
      <c r="E7" s="12" t="s">
        <v>8</v>
      </c>
      <c r="F7" s="12"/>
      <c r="G7" s="13" t="s">
        <v>60</v>
      </c>
    </row>
    <row r="8" spans="1:7" ht="30" customHeight="1" x14ac:dyDescent="0.25">
      <c r="A8" s="6" t="s">
        <v>21</v>
      </c>
      <c r="B8" s="7">
        <v>165</v>
      </c>
      <c r="C8" s="7">
        <v>138</v>
      </c>
      <c r="D8" s="7">
        <v>27</v>
      </c>
      <c r="E8" s="8" t="s">
        <v>8</v>
      </c>
      <c r="F8" s="8"/>
      <c r="G8" s="9" t="s">
        <v>109</v>
      </c>
    </row>
    <row r="9" spans="1:7" ht="30" customHeight="1" x14ac:dyDescent="0.25">
      <c r="A9" s="10" t="s">
        <v>23</v>
      </c>
      <c r="B9" s="11">
        <v>76</v>
      </c>
      <c r="C9" s="11">
        <v>64</v>
      </c>
      <c r="D9" s="11">
        <v>12</v>
      </c>
      <c r="E9" s="12" t="s">
        <v>8</v>
      </c>
      <c r="F9" s="12"/>
      <c r="G9" s="13" t="s">
        <v>130</v>
      </c>
    </row>
    <row r="10" spans="1:7" ht="30" customHeight="1" x14ac:dyDescent="0.25">
      <c r="A10" s="6" t="s">
        <v>24</v>
      </c>
      <c r="B10" s="7">
        <v>2</v>
      </c>
      <c r="C10" s="7">
        <v>22</v>
      </c>
      <c r="D10" s="7">
        <v>-20</v>
      </c>
      <c r="E10" s="8"/>
      <c r="F10" s="8" t="s">
        <v>15</v>
      </c>
      <c r="G10" s="9" t="s">
        <v>78</v>
      </c>
    </row>
    <row r="11" spans="1:7" ht="30" customHeight="1" x14ac:dyDescent="0.25">
      <c r="A11" s="10" t="s">
        <v>26</v>
      </c>
      <c r="B11" s="11">
        <v>0</v>
      </c>
      <c r="C11" s="11">
        <v>0</v>
      </c>
      <c r="D11" s="11">
        <v>0</v>
      </c>
      <c r="E11" s="12"/>
      <c r="F11" s="12"/>
      <c r="G11" s="13"/>
    </row>
    <row r="12" spans="1:7" ht="30" customHeight="1" x14ac:dyDescent="0.25">
      <c r="A12" s="14" t="s">
        <v>27</v>
      </c>
      <c r="B12" s="15">
        <v>8</v>
      </c>
      <c r="C12" s="15">
        <v>22</v>
      </c>
      <c r="D12" s="15">
        <v>-14</v>
      </c>
      <c r="E12" s="16"/>
      <c r="F12" s="16" t="s">
        <v>15</v>
      </c>
      <c r="G12" s="17" t="s">
        <v>128</v>
      </c>
    </row>
    <row r="13" spans="1:7" ht="30" customHeight="1" x14ac:dyDescent="0.25">
      <c r="A13" s="18" t="s">
        <v>29</v>
      </c>
      <c r="B13" s="19">
        <v>34</v>
      </c>
      <c r="C13" s="19">
        <v>59</v>
      </c>
      <c r="D13" s="19">
        <v>-25</v>
      </c>
      <c r="E13" s="20"/>
      <c r="F13" s="20" t="s">
        <v>15</v>
      </c>
      <c r="G13" s="21" t="s">
        <v>222</v>
      </c>
    </row>
    <row r="14" spans="1:7" ht="30" customHeight="1" x14ac:dyDescent="0.25">
      <c r="A14" s="14" t="s">
        <v>31</v>
      </c>
      <c r="B14" s="15">
        <v>116</v>
      </c>
      <c r="C14" s="15">
        <v>291</v>
      </c>
      <c r="D14" s="15">
        <v>-175</v>
      </c>
      <c r="E14" s="16"/>
      <c r="F14" s="16" t="s">
        <v>15</v>
      </c>
      <c r="G14" s="17" t="s">
        <v>47</v>
      </c>
    </row>
    <row r="15" spans="1:7" ht="30" customHeight="1" x14ac:dyDescent="0.25">
      <c r="A15" s="18" t="s">
        <v>33</v>
      </c>
      <c r="B15" s="19">
        <v>52</v>
      </c>
      <c r="C15" s="19">
        <v>133</v>
      </c>
      <c r="D15" s="19">
        <v>-81</v>
      </c>
      <c r="E15" s="20"/>
      <c r="F15" s="20" t="s">
        <v>15</v>
      </c>
      <c r="G15" s="21" t="s">
        <v>136</v>
      </c>
    </row>
    <row r="16" spans="1:7" ht="30" customHeight="1" x14ac:dyDescent="0.25">
      <c r="A16" s="6" t="s">
        <v>35</v>
      </c>
      <c r="B16" s="7">
        <v>49</v>
      </c>
      <c r="C16" s="7">
        <v>141</v>
      </c>
      <c r="D16" s="7">
        <v>-92</v>
      </c>
      <c r="E16" s="8"/>
      <c r="F16" s="8" t="s">
        <v>15</v>
      </c>
      <c r="G16" s="9" t="s">
        <v>206</v>
      </c>
    </row>
    <row r="17" spans="1:7" ht="30" customHeight="1" x14ac:dyDescent="0.25">
      <c r="A17" s="10" t="s">
        <v>37</v>
      </c>
      <c r="B17" s="11">
        <v>613</v>
      </c>
      <c r="C17" s="11">
        <v>396</v>
      </c>
      <c r="D17" s="11">
        <v>217</v>
      </c>
      <c r="E17" s="12" t="s">
        <v>8</v>
      </c>
      <c r="F17" s="12"/>
      <c r="G17" s="13" t="s">
        <v>51</v>
      </c>
    </row>
    <row r="18" spans="1:7" ht="30" customHeight="1" x14ac:dyDescent="0.25">
      <c r="A18" s="6" t="s">
        <v>38</v>
      </c>
      <c r="B18" s="7">
        <v>52</v>
      </c>
      <c r="C18" s="7">
        <v>96</v>
      </c>
      <c r="D18" s="7">
        <v>-44</v>
      </c>
      <c r="E18" s="8"/>
      <c r="F18" s="8" t="s">
        <v>15</v>
      </c>
      <c r="G18" s="9" t="s">
        <v>223</v>
      </c>
    </row>
    <row r="19" spans="1:7" ht="30" customHeight="1" x14ac:dyDescent="0.25">
      <c r="A19" s="10" t="s">
        <v>40</v>
      </c>
      <c r="B19" s="11">
        <v>563</v>
      </c>
      <c r="C19" s="11">
        <v>348</v>
      </c>
      <c r="D19" s="11">
        <v>215</v>
      </c>
      <c r="E19" s="12" t="s">
        <v>8</v>
      </c>
      <c r="F19" s="12"/>
      <c r="G19" s="13" t="s">
        <v>60</v>
      </c>
    </row>
    <row r="20" spans="1:7" ht="30" customHeight="1" x14ac:dyDescent="0.25">
      <c r="A20" s="6" t="s">
        <v>42</v>
      </c>
      <c r="B20" s="7">
        <v>0</v>
      </c>
      <c r="C20" s="7">
        <v>43</v>
      </c>
      <c r="D20" s="7">
        <v>-43</v>
      </c>
      <c r="E20" s="8"/>
      <c r="F20" s="8" t="s">
        <v>15</v>
      </c>
      <c r="G20" s="9" t="s">
        <v>25</v>
      </c>
    </row>
    <row r="21" spans="1:7" ht="30" customHeight="1" x14ac:dyDescent="0.25">
      <c r="A21" s="10" t="s">
        <v>44</v>
      </c>
      <c r="B21" s="11">
        <v>549</v>
      </c>
      <c r="C21" s="11">
        <v>373</v>
      </c>
      <c r="D21" s="11">
        <v>176</v>
      </c>
      <c r="E21" s="12" t="s">
        <v>8</v>
      </c>
      <c r="F21" s="12"/>
      <c r="G21" s="13" t="s">
        <v>159</v>
      </c>
    </row>
    <row r="22" spans="1:7" ht="30" customHeight="1" x14ac:dyDescent="0.25">
      <c r="A22" s="6" t="s">
        <v>46</v>
      </c>
      <c r="B22" s="7">
        <v>62</v>
      </c>
      <c r="C22" s="7">
        <v>231</v>
      </c>
      <c r="D22" s="7">
        <v>-169</v>
      </c>
      <c r="E22" s="8"/>
      <c r="F22" s="8" t="s">
        <v>15</v>
      </c>
      <c r="G22" s="9" t="s">
        <v>104</v>
      </c>
    </row>
    <row r="23" spans="1:7" ht="30" customHeight="1" x14ac:dyDescent="0.25">
      <c r="A23" s="10" t="s">
        <v>48</v>
      </c>
      <c r="B23" s="11">
        <v>738</v>
      </c>
      <c r="C23" s="11">
        <v>590</v>
      </c>
      <c r="D23" s="11">
        <v>148</v>
      </c>
      <c r="E23" s="12" t="s">
        <v>8</v>
      </c>
      <c r="F23" s="12"/>
      <c r="G23" s="13" t="s">
        <v>194</v>
      </c>
    </row>
    <row r="24" spans="1:7" ht="30" customHeight="1" x14ac:dyDescent="0.25">
      <c r="A24" s="6" t="s">
        <v>50</v>
      </c>
      <c r="B24" s="7">
        <v>1611</v>
      </c>
      <c r="C24" s="7">
        <v>1441</v>
      </c>
      <c r="D24" s="7">
        <v>170</v>
      </c>
      <c r="E24" s="8" t="s">
        <v>8</v>
      </c>
      <c r="F24" s="8"/>
      <c r="G24" s="9" t="s">
        <v>183</v>
      </c>
    </row>
    <row r="25" spans="1:7" ht="30" customHeight="1" x14ac:dyDescent="0.25">
      <c r="A25" s="10" t="s">
        <v>52</v>
      </c>
      <c r="B25" s="11">
        <v>103</v>
      </c>
      <c r="C25" s="11">
        <v>347</v>
      </c>
      <c r="D25" s="11">
        <v>-244</v>
      </c>
      <c r="E25" s="12"/>
      <c r="F25" s="12" t="s">
        <v>15</v>
      </c>
      <c r="G25" s="13" t="s">
        <v>160</v>
      </c>
    </row>
    <row r="26" spans="1:7" ht="30" customHeight="1" x14ac:dyDescent="0.25">
      <c r="A26" s="6" t="s">
        <v>54</v>
      </c>
      <c r="B26" s="7">
        <v>0</v>
      </c>
      <c r="C26" s="7">
        <v>0</v>
      </c>
      <c r="D26" s="7">
        <v>0</v>
      </c>
      <c r="E26" s="8"/>
      <c r="F26" s="8"/>
      <c r="G26" s="9"/>
    </row>
    <row r="27" spans="1:7" ht="30" customHeight="1" x14ac:dyDescent="0.25">
      <c r="A27" s="10" t="s">
        <v>55</v>
      </c>
      <c r="B27" s="11">
        <v>235</v>
      </c>
      <c r="C27" s="11">
        <v>190</v>
      </c>
      <c r="D27" s="11">
        <v>45</v>
      </c>
      <c r="E27" s="12" t="s">
        <v>8</v>
      </c>
      <c r="F27" s="12"/>
      <c r="G27" s="13" t="s">
        <v>214</v>
      </c>
    </row>
    <row r="28" spans="1:7" ht="30" customHeight="1" x14ac:dyDescent="0.25">
      <c r="A28" s="6" t="s">
        <v>57</v>
      </c>
      <c r="B28" s="7">
        <v>183</v>
      </c>
      <c r="C28" s="7">
        <v>84</v>
      </c>
      <c r="D28" s="7">
        <v>99</v>
      </c>
      <c r="E28" s="8" t="s">
        <v>8</v>
      </c>
      <c r="F28" s="8"/>
      <c r="G28" s="9" t="s">
        <v>224</v>
      </c>
    </row>
    <row r="29" spans="1:7" ht="30" customHeight="1" x14ac:dyDescent="0.25">
      <c r="A29" s="10" t="s">
        <v>59</v>
      </c>
      <c r="B29" s="11">
        <v>844</v>
      </c>
      <c r="C29" s="11">
        <v>471</v>
      </c>
      <c r="D29" s="11">
        <v>373</v>
      </c>
      <c r="E29" s="12" t="s">
        <v>8</v>
      </c>
      <c r="F29" s="12"/>
      <c r="G29" s="13" t="s">
        <v>220</v>
      </c>
    </row>
    <row r="30" spans="1:7" ht="30" customHeight="1" x14ac:dyDescent="0.25">
      <c r="A30" s="6" t="s">
        <v>61</v>
      </c>
      <c r="B30" s="7">
        <v>88</v>
      </c>
      <c r="C30" s="7">
        <v>27</v>
      </c>
      <c r="D30" s="7">
        <v>61</v>
      </c>
      <c r="E30" s="8" t="s">
        <v>8</v>
      </c>
      <c r="F30" s="8"/>
      <c r="G30" s="9" t="s">
        <v>225</v>
      </c>
    </row>
    <row r="31" spans="1:7" ht="30" customHeight="1" x14ac:dyDescent="0.25">
      <c r="A31" s="10" t="s">
        <v>63</v>
      </c>
      <c r="B31" s="11">
        <v>112</v>
      </c>
      <c r="C31" s="11">
        <v>337</v>
      </c>
      <c r="D31" s="11">
        <v>-225</v>
      </c>
      <c r="E31" s="12"/>
      <c r="F31" s="12" t="s">
        <v>15</v>
      </c>
      <c r="G31" s="13" t="s">
        <v>152</v>
      </c>
    </row>
    <row r="32" spans="1:7" ht="30" customHeight="1" x14ac:dyDescent="0.25">
      <c r="A32" s="6" t="s">
        <v>65</v>
      </c>
      <c r="B32" s="7">
        <v>449</v>
      </c>
      <c r="C32" s="7">
        <v>463</v>
      </c>
      <c r="D32" s="7">
        <v>-14</v>
      </c>
      <c r="E32" s="8"/>
      <c r="F32" s="8" t="s">
        <v>15</v>
      </c>
      <c r="G32" s="9" t="s">
        <v>226</v>
      </c>
    </row>
    <row r="33" spans="1:7" ht="30" customHeight="1" x14ac:dyDescent="0.25">
      <c r="A33" s="10" t="s">
        <v>67</v>
      </c>
      <c r="B33" s="11">
        <v>323</v>
      </c>
      <c r="C33" s="11">
        <v>334</v>
      </c>
      <c r="D33" s="11">
        <v>-11</v>
      </c>
      <c r="E33" s="12"/>
      <c r="F33" s="12" t="s">
        <v>15</v>
      </c>
      <c r="G33" s="13" t="s">
        <v>226</v>
      </c>
    </row>
    <row r="34" spans="1:7" ht="30" customHeight="1" x14ac:dyDescent="0.25">
      <c r="A34" s="6" t="s">
        <v>69</v>
      </c>
      <c r="B34" s="7">
        <v>183</v>
      </c>
      <c r="C34" s="7">
        <v>122</v>
      </c>
      <c r="D34" s="7">
        <v>61</v>
      </c>
      <c r="E34" s="8" t="s">
        <v>8</v>
      </c>
      <c r="F34" s="8"/>
      <c r="G34" s="9" t="s">
        <v>227</v>
      </c>
    </row>
    <row r="35" spans="1:7" ht="30" customHeight="1" x14ac:dyDescent="0.25">
      <c r="A35" s="10" t="s">
        <v>71</v>
      </c>
      <c r="B35" s="11">
        <v>1032</v>
      </c>
      <c r="C35" s="11">
        <v>1794</v>
      </c>
      <c r="D35" s="11">
        <v>-762</v>
      </c>
      <c r="E35" s="12"/>
      <c r="F35" s="12" t="s">
        <v>15</v>
      </c>
      <c r="G35" s="13" t="s">
        <v>222</v>
      </c>
    </row>
    <row r="36" spans="1:7" ht="30" customHeight="1" x14ac:dyDescent="0.25">
      <c r="A36" s="6" t="s">
        <v>73</v>
      </c>
      <c r="B36" s="7">
        <v>177</v>
      </c>
      <c r="C36" s="7">
        <v>504</v>
      </c>
      <c r="D36" s="7">
        <v>-327</v>
      </c>
      <c r="E36" s="8"/>
      <c r="F36" s="8" t="s">
        <v>15</v>
      </c>
      <c r="G36" s="9" t="s">
        <v>206</v>
      </c>
    </row>
    <row r="37" spans="1:7" ht="30" customHeight="1" x14ac:dyDescent="0.25">
      <c r="A37" s="10" t="s">
        <v>75</v>
      </c>
      <c r="B37" s="11">
        <v>646</v>
      </c>
      <c r="C37" s="11">
        <v>250</v>
      </c>
      <c r="D37" s="11">
        <v>396</v>
      </c>
      <c r="E37" s="12" t="s">
        <v>8</v>
      </c>
      <c r="F37" s="12"/>
      <c r="G37" s="13" t="s">
        <v>228</v>
      </c>
    </row>
    <row r="38" spans="1:7" ht="30" customHeight="1" x14ac:dyDescent="0.25">
      <c r="A38" s="6" t="s">
        <v>77</v>
      </c>
      <c r="B38" s="7">
        <v>30</v>
      </c>
      <c r="C38" s="7">
        <v>227</v>
      </c>
      <c r="D38" s="7">
        <v>-197</v>
      </c>
      <c r="E38" s="8"/>
      <c r="F38" s="8" t="s">
        <v>15</v>
      </c>
      <c r="G38" s="9" t="s">
        <v>229</v>
      </c>
    </row>
    <row r="39" spans="1:7" ht="30" customHeight="1" x14ac:dyDescent="0.25">
      <c r="A39" s="10" t="s">
        <v>79</v>
      </c>
      <c r="B39" s="11">
        <v>0</v>
      </c>
      <c r="C39" s="11">
        <v>1</v>
      </c>
      <c r="D39" s="11">
        <v>-1</v>
      </c>
      <c r="E39" s="12"/>
      <c r="F39" s="12" t="s">
        <v>15</v>
      </c>
      <c r="G39" s="13" t="s">
        <v>25</v>
      </c>
    </row>
    <row r="40" spans="1:7" ht="30" customHeight="1" x14ac:dyDescent="0.25">
      <c r="A40" s="22" t="s">
        <v>81</v>
      </c>
      <c r="B40" s="23">
        <v>0</v>
      </c>
      <c r="C40" s="23">
        <v>2</v>
      </c>
      <c r="D40" s="23">
        <v>-2</v>
      </c>
      <c r="E40" s="24"/>
      <c r="F40" s="24" t="s">
        <v>15</v>
      </c>
      <c r="G40" s="25" t="s">
        <v>25</v>
      </c>
    </row>
    <row r="41" spans="1:7" ht="30" customHeight="1" x14ac:dyDescent="0.25">
      <c r="A41" s="26" t="s">
        <v>83</v>
      </c>
      <c r="B41" s="27">
        <v>0</v>
      </c>
      <c r="C41" s="27">
        <v>1</v>
      </c>
      <c r="D41" s="27">
        <v>-1</v>
      </c>
      <c r="E41" s="28"/>
      <c r="F41" s="28" t="s">
        <v>15</v>
      </c>
      <c r="G41" s="29" t="s">
        <v>25</v>
      </c>
    </row>
    <row r="42" spans="1:7" ht="30" customHeight="1" x14ac:dyDescent="0.25">
      <c r="A42" s="22" t="s">
        <v>85</v>
      </c>
      <c r="B42" s="23">
        <v>0</v>
      </c>
      <c r="C42" s="23">
        <v>1</v>
      </c>
      <c r="D42" s="23">
        <v>-1</v>
      </c>
      <c r="E42" s="24"/>
      <c r="F42" s="24" t="s">
        <v>15</v>
      </c>
      <c r="G42" s="25" t="s">
        <v>25</v>
      </c>
    </row>
    <row r="43" spans="1:7" ht="30" customHeight="1" x14ac:dyDescent="0.25">
      <c r="A43" s="26" t="s">
        <v>87</v>
      </c>
      <c r="B43" s="27">
        <v>129</v>
      </c>
      <c r="C43" s="27">
        <v>84</v>
      </c>
      <c r="D43" s="27">
        <v>45</v>
      </c>
      <c r="E43" s="28" t="s">
        <v>8</v>
      </c>
      <c r="F43" s="28"/>
      <c r="G43" s="29" t="s">
        <v>230</v>
      </c>
    </row>
    <row r="44" spans="1:7" ht="30" customHeight="1" x14ac:dyDescent="0.25">
      <c r="A44" s="6" t="s">
        <v>89</v>
      </c>
      <c r="B44" s="7">
        <v>55</v>
      </c>
      <c r="C44" s="7">
        <v>184</v>
      </c>
      <c r="D44" s="7">
        <v>-129</v>
      </c>
      <c r="E44" s="8"/>
      <c r="F44" s="8" t="s">
        <v>15</v>
      </c>
      <c r="G44" s="9" t="s">
        <v>160</v>
      </c>
    </row>
    <row r="45" spans="1:7" ht="30" customHeight="1" x14ac:dyDescent="0.25">
      <c r="A45" s="10" t="s">
        <v>91</v>
      </c>
      <c r="B45" s="11">
        <v>506</v>
      </c>
      <c r="C45" s="11">
        <v>616</v>
      </c>
      <c r="D45" s="11">
        <v>-110</v>
      </c>
      <c r="E45" s="12"/>
      <c r="F45" s="12" t="s">
        <v>15</v>
      </c>
      <c r="G45" s="13" t="s">
        <v>231</v>
      </c>
    </row>
    <row r="46" spans="1:7" ht="30" customHeight="1" x14ac:dyDescent="0.25">
      <c r="A46" s="6" t="s">
        <v>92</v>
      </c>
      <c r="B46" s="7">
        <v>737</v>
      </c>
      <c r="C46" s="7">
        <v>699</v>
      </c>
      <c r="D46" s="7">
        <v>38</v>
      </c>
      <c r="E46" s="8" t="s">
        <v>8</v>
      </c>
      <c r="F46" s="8"/>
      <c r="G46" s="9" t="s">
        <v>49</v>
      </c>
    </row>
    <row r="47" spans="1:7" ht="30" customHeight="1" x14ac:dyDescent="0.25">
      <c r="A47" s="10" t="s">
        <v>94</v>
      </c>
      <c r="B47" s="11">
        <v>224</v>
      </c>
      <c r="C47" s="11">
        <v>548</v>
      </c>
      <c r="D47" s="11">
        <v>-324</v>
      </c>
      <c r="E47" s="12"/>
      <c r="F47" s="12" t="s">
        <v>15</v>
      </c>
      <c r="G47" s="13" t="s">
        <v>90</v>
      </c>
    </row>
    <row r="48" spans="1:7" ht="30" customHeight="1" x14ac:dyDescent="0.25">
      <c r="A48" s="6" t="s">
        <v>95</v>
      </c>
      <c r="B48" s="7">
        <v>293</v>
      </c>
      <c r="C48" s="7">
        <v>155</v>
      </c>
      <c r="D48" s="7">
        <v>138</v>
      </c>
      <c r="E48" s="8" t="s">
        <v>8</v>
      </c>
      <c r="F48" s="8"/>
      <c r="G48" s="9" t="s">
        <v>232</v>
      </c>
    </row>
    <row r="49" spans="1:7" ht="30" customHeight="1" x14ac:dyDescent="0.25">
      <c r="A49" s="10" t="s">
        <v>97</v>
      </c>
      <c r="B49" s="11">
        <v>942</v>
      </c>
      <c r="C49" s="11">
        <v>545</v>
      </c>
      <c r="D49" s="11">
        <v>397</v>
      </c>
      <c r="E49" s="12" t="s">
        <v>8</v>
      </c>
      <c r="F49" s="12"/>
      <c r="G49" s="13" t="s">
        <v>118</v>
      </c>
    </row>
    <row r="50" spans="1:7" ht="30" customHeight="1" x14ac:dyDescent="0.25">
      <c r="A50" s="6" t="s">
        <v>99</v>
      </c>
      <c r="B50" s="7">
        <v>93</v>
      </c>
      <c r="C50" s="7">
        <v>132</v>
      </c>
      <c r="D50" s="7">
        <v>-39</v>
      </c>
      <c r="E50" s="8"/>
      <c r="F50" s="8" t="s">
        <v>15</v>
      </c>
      <c r="G50" s="9" t="s">
        <v>156</v>
      </c>
    </row>
    <row r="51" spans="1:7" ht="30" customHeight="1" x14ac:dyDescent="0.25">
      <c r="A51" s="10" t="s">
        <v>101</v>
      </c>
      <c r="B51" s="11">
        <v>319</v>
      </c>
      <c r="C51" s="11">
        <v>355</v>
      </c>
      <c r="D51" s="11">
        <v>-36</v>
      </c>
      <c r="E51" s="12"/>
      <c r="F51" s="12" t="s">
        <v>15</v>
      </c>
      <c r="G51" s="13" t="s">
        <v>219</v>
      </c>
    </row>
    <row r="52" spans="1:7" ht="30" customHeight="1" x14ac:dyDescent="0.25">
      <c r="A52" s="6" t="s">
        <v>103</v>
      </c>
      <c r="B52" s="7">
        <v>26</v>
      </c>
      <c r="C52" s="7">
        <v>185</v>
      </c>
      <c r="D52" s="7">
        <v>-159</v>
      </c>
      <c r="E52" s="8"/>
      <c r="F52" s="8" t="s">
        <v>15</v>
      </c>
      <c r="G52" s="9" t="s">
        <v>149</v>
      </c>
    </row>
    <row r="53" spans="1:7" ht="30" customHeight="1" x14ac:dyDescent="0.25">
      <c r="A53" s="10" t="s">
        <v>105</v>
      </c>
      <c r="B53" s="11">
        <v>36</v>
      </c>
      <c r="C53" s="11">
        <v>265</v>
      </c>
      <c r="D53" s="11">
        <v>-229</v>
      </c>
      <c r="E53" s="12"/>
      <c r="F53" s="12" t="s">
        <v>15</v>
      </c>
      <c r="G53" s="13" t="s">
        <v>149</v>
      </c>
    </row>
    <row r="54" spans="1:7" ht="30" customHeight="1" x14ac:dyDescent="0.25">
      <c r="A54" s="30" t="s">
        <v>107</v>
      </c>
      <c r="B54" s="31">
        <v>304</v>
      </c>
      <c r="C54" s="31">
        <v>235</v>
      </c>
      <c r="D54" s="31">
        <v>69</v>
      </c>
      <c r="E54" s="32" t="s">
        <v>8</v>
      </c>
      <c r="F54" s="32"/>
      <c r="G54" s="33" t="s">
        <v>193</v>
      </c>
    </row>
  </sheetData>
  <autoFilter ref="A1:G54" xr:uid="{00000000-0009-0000-0000-000006000000}"/>
  <conditionalFormatting sqref="E2">
    <cfRule type="expression" dxfId="46" priority="7">
      <formula>"D2&gt;0"</formula>
    </cfRule>
  </conditionalFormatting>
  <conditionalFormatting sqref="E2:E37 E40:E54">
    <cfRule type="containsText" dxfId="45" priority="6" operator="containsText" text="We borrowerd more than we lent">
      <formula>NOT(ISERROR(SEARCH("We borrowerd more than we lent",E2)))</formula>
    </cfRule>
  </conditionalFormatting>
  <conditionalFormatting sqref="F2:F37 F40:F54">
    <cfRule type="containsText" dxfId="44" priority="5" operator="containsText" text="We lent more than we borrowed">
      <formula>NOT(ISERROR(SEARCH("We lent more than we borrowed",F2)))</formula>
    </cfRule>
  </conditionalFormatting>
  <conditionalFormatting sqref="E38">
    <cfRule type="containsText" dxfId="43" priority="4" operator="containsText" text="We borrowerd more than we lent">
      <formula>NOT(ISERROR(SEARCH("We borrowerd more than we lent",E38)))</formula>
    </cfRule>
  </conditionalFormatting>
  <conditionalFormatting sqref="F38">
    <cfRule type="containsText" dxfId="42" priority="3" operator="containsText" text="We lent more than we borrowed">
      <formula>NOT(ISERROR(SEARCH("We lent more than we borrowed",F38)))</formula>
    </cfRule>
  </conditionalFormatting>
  <conditionalFormatting sqref="E39">
    <cfRule type="containsText" dxfId="41" priority="2" operator="containsText" text="We borrowerd more than we lent">
      <formula>NOT(ISERROR(SEARCH("We borrowerd more than we lent",E39)))</formula>
    </cfRule>
  </conditionalFormatting>
  <conditionalFormatting sqref="F39">
    <cfRule type="containsText" dxfId="40" priority="1" operator="containsText" text="We lent more than we borrowed">
      <formula>NOT(ISERROR(SEARCH("We lent more than we borrowed",F39)))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G54"/>
  <sheetViews>
    <sheetView zoomScale="85" zoomScaleNormal="85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ColWidth="9.140625" defaultRowHeight="15" x14ac:dyDescent="0.25"/>
  <cols>
    <col min="1" max="1" width="45.7109375" customWidth="1"/>
    <col min="2" max="3" width="30.7109375" customWidth="1"/>
    <col min="4" max="4" width="20.7109375" customWidth="1"/>
    <col min="5" max="6" width="25.7109375" style="34" customWidth="1"/>
    <col min="7" max="7" width="28.7109375" customWidth="1"/>
  </cols>
  <sheetData>
    <row r="1" spans="1:7" s="5" customFormat="1" ht="30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4" t="s">
        <v>6</v>
      </c>
    </row>
    <row r="2" spans="1:7" ht="30" customHeight="1" x14ac:dyDescent="0.25">
      <c r="A2" s="6" t="s">
        <v>7</v>
      </c>
      <c r="B2" s="7">
        <v>1469</v>
      </c>
      <c r="C2" s="7">
        <v>1152</v>
      </c>
      <c r="D2" s="7">
        <v>317</v>
      </c>
      <c r="E2" s="8" t="s">
        <v>8</v>
      </c>
      <c r="F2" s="8"/>
      <c r="G2" s="9" t="s">
        <v>96</v>
      </c>
    </row>
    <row r="3" spans="1:7" ht="30" customHeight="1" x14ac:dyDescent="0.25">
      <c r="A3" s="10" t="s">
        <v>10</v>
      </c>
      <c r="B3" s="11">
        <v>633</v>
      </c>
      <c r="C3" s="11">
        <v>314</v>
      </c>
      <c r="D3" s="11">
        <v>319</v>
      </c>
      <c r="E3" s="12" t="s">
        <v>8</v>
      </c>
      <c r="F3" s="12"/>
      <c r="G3" s="13" t="s">
        <v>208</v>
      </c>
    </row>
    <row r="4" spans="1:7" ht="30" customHeight="1" x14ac:dyDescent="0.25">
      <c r="A4" s="6" t="s">
        <v>12</v>
      </c>
      <c r="B4" s="7">
        <v>1232</v>
      </c>
      <c r="C4" s="7">
        <v>1270</v>
      </c>
      <c r="D4" s="7">
        <v>-38</v>
      </c>
      <c r="E4" s="8"/>
      <c r="F4" s="8" t="s">
        <v>15</v>
      </c>
      <c r="G4" s="9" t="s">
        <v>226</v>
      </c>
    </row>
    <row r="5" spans="1:7" ht="30" customHeight="1" x14ac:dyDescent="0.25">
      <c r="A5" s="10" t="s">
        <v>14</v>
      </c>
      <c r="B5" s="11">
        <v>31</v>
      </c>
      <c r="C5" s="11">
        <v>104</v>
      </c>
      <c r="D5" s="11">
        <v>-73</v>
      </c>
      <c r="E5" s="12"/>
      <c r="F5" s="12" t="s">
        <v>15</v>
      </c>
      <c r="G5" s="13" t="s">
        <v>160</v>
      </c>
    </row>
    <row r="6" spans="1:7" ht="30" customHeight="1" x14ac:dyDescent="0.25">
      <c r="A6" s="6" t="s">
        <v>17</v>
      </c>
      <c r="B6" s="7">
        <v>907</v>
      </c>
      <c r="C6" s="7">
        <v>1139</v>
      </c>
      <c r="D6" s="7">
        <v>-232</v>
      </c>
      <c r="E6" s="8"/>
      <c r="F6" s="8" t="s">
        <v>15</v>
      </c>
      <c r="G6" s="9" t="s">
        <v>182</v>
      </c>
    </row>
    <row r="7" spans="1:7" ht="30" customHeight="1" x14ac:dyDescent="0.25">
      <c r="A7" s="10" t="s">
        <v>19</v>
      </c>
      <c r="B7" s="11">
        <v>256</v>
      </c>
      <c r="C7" s="11">
        <v>167</v>
      </c>
      <c r="D7" s="11">
        <v>89</v>
      </c>
      <c r="E7" s="12" t="s">
        <v>8</v>
      </c>
      <c r="F7" s="12"/>
      <c r="G7" s="13" t="s">
        <v>140</v>
      </c>
    </row>
    <row r="8" spans="1:7" ht="30" customHeight="1" x14ac:dyDescent="0.25">
      <c r="A8" s="6" t="s">
        <v>21</v>
      </c>
      <c r="B8" s="7">
        <v>128</v>
      </c>
      <c r="C8" s="7">
        <v>154</v>
      </c>
      <c r="D8" s="7">
        <v>-26</v>
      </c>
      <c r="E8" s="8"/>
      <c r="F8" s="8" t="s">
        <v>15</v>
      </c>
      <c r="G8" s="9" t="s">
        <v>62</v>
      </c>
    </row>
    <row r="9" spans="1:7" ht="30" customHeight="1" x14ac:dyDescent="0.25">
      <c r="A9" s="10" t="s">
        <v>23</v>
      </c>
      <c r="B9" s="11">
        <v>94</v>
      </c>
      <c r="C9" s="11">
        <v>47</v>
      </c>
      <c r="D9" s="11">
        <v>47</v>
      </c>
      <c r="E9" s="12" t="s">
        <v>8</v>
      </c>
      <c r="F9" s="12"/>
      <c r="G9" s="13" t="s">
        <v>70</v>
      </c>
    </row>
    <row r="10" spans="1:7" ht="30" customHeight="1" x14ac:dyDescent="0.25">
      <c r="A10" s="6" t="s">
        <v>24</v>
      </c>
      <c r="B10" s="7">
        <v>0</v>
      </c>
      <c r="C10" s="7">
        <v>26</v>
      </c>
      <c r="D10" s="7">
        <v>-26</v>
      </c>
      <c r="E10" s="8"/>
      <c r="F10" s="8" t="s">
        <v>15</v>
      </c>
      <c r="G10" s="9" t="s">
        <v>25</v>
      </c>
    </row>
    <row r="11" spans="1:7" ht="30" customHeight="1" x14ac:dyDescent="0.25">
      <c r="A11" s="10" t="s">
        <v>26</v>
      </c>
      <c r="B11" s="11">
        <v>0</v>
      </c>
      <c r="C11" s="11">
        <v>0</v>
      </c>
      <c r="D11" s="11">
        <v>0</v>
      </c>
      <c r="E11" s="12"/>
      <c r="F11" s="12"/>
      <c r="G11" s="13"/>
    </row>
    <row r="12" spans="1:7" ht="30" customHeight="1" x14ac:dyDescent="0.25">
      <c r="A12" s="14" t="s">
        <v>27</v>
      </c>
      <c r="B12" s="15">
        <v>2</v>
      </c>
      <c r="C12" s="15">
        <v>17</v>
      </c>
      <c r="D12" s="15">
        <v>-15</v>
      </c>
      <c r="E12" s="16"/>
      <c r="F12" s="16" t="s">
        <v>15</v>
      </c>
      <c r="G12" s="17" t="s">
        <v>143</v>
      </c>
    </row>
    <row r="13" spans="1:7" ht="30" customHeight="1" x14ac:dyDescent="0.25">
      <c r="A13" s="18" t="s">
        <v>29</v>
      </c>
      <c r="B13" s="19">
        <v>26</v>
      </c>
      <c r="C13" s="19">
        <v>64</v>
      </c>
      <c r="D13" s="19">
        <v>-38</v>
      </c>
      <c r="E13" s="20"/>
      <c r="F13" s="20" t="s">
        <v>15</v>
      </c>
      <c r="G13" s="21" t="s">
        <v>90</v>
      </c>
    </row>
    <row r="14" spans="1:7" ht="30" customHeight="1" x14ac:dyDescent="0.25">
      <c r="A14" s="14" t="s">
        <v>31</v>
      </c>
      <c r="B14" s="15">
        <v>112</v>
      </c>
      <c r="C14" s="15">
        <v>288</v>
      </c>
      <c r="D14" s="15">
        <v>-176</v>
      </c>
      <c r="E14" s="16"/>
      <c r="F14" s="16" t="s">
        <v>15</v>
      </c>
      <c r="G14" s="17" t="s">
        <v>136</v>
      </c>
    </row>
    <row r="15" spans="1:7" ht="30" customHeight="1" x14ac:dyDescent="0.25">
      <c r="A15" s="18" t="s">
        <v>33</v>
      </c>
      <c r="B15" s="19">
        <v>52</v>
      </c>
      <c r="C15" s="19">
        <v>162</v>
      </c>
      <c r="D15" s="19">
        <v>-110</v>
      </c>
      <c r="E15" s="20"/>
      <c r="F15" s="20" t="s">
        <v>15</v>
      </c>
      <c r="G15" s="21" t="s">
        <v>28</v>
      </c>
    </row>
    <row r="16" spans="1:7" ht="30" customHeight="1" x14ac:dyDescent="0.25">
      <c r="A16" s="6" t="s">
        <v>35</v>
      </c>
      <c r="B16" s="7">
        <v>57</v>
      </c>
      <c r="C16" s="7">
        <v>156</v>
      </c>
      <c r="D16" s="7">
        <v>-99</v>
      </c>
      <c r="E16" s="8"/>
      <c r="F16" s="8" t="s">
        <v>15</v>
      </c>
      <c r="G16" s="9" t="s">
        <v>185</v>
      </c>
    </row>
    <row r="17" spans="1:7" ht="30" customHeight="1" x14ac:dyDescent="0.25">
      <c r="A17" s="10" t="s">
        <v>37</v>
      </c>
      <c r="B17" s="11">
        <v>720</v>
      </c>
      <c r="C17" s="11">
        <v>469</v>
      </c>
      <c r="D17" s="11">
        <v>251</v>
      </c>
      <c r="E17" s="12" t="s">
        <v>8</v>
      </c>
      <c r="F17" s="12"/>
      <c r="G17" s="13" t="s">
        <v>230</v>
      </c>
    </row>
    <row r="18" spans="1:7" ht="30" customHeight="1" x14ac:dyDescent="0.25">
      <c r="A18" s="6" t="s">
        <v>38</v>
      </c>
      <c r="B18" s="7">
        <v>46</v>
      </c>
      <c r="C18" s="7">
        <v>92</v>
      </c>
      <c r="D18" s="7">
        <v>-46</v>
      </c>
      <c r="E18" s="8"/>
      <c r="F18" s="8" t="s">
        <v>15</v>
      </c>
      <c r="G18" s="9" t="s">
        <v>165</v>
      </c>
    </row>
    <row r="19" spans="1:7" ht="30" customHeight="1" x14ac:dyDescent="0.25">
      <c r="A19" s="10" t="s">
        <v>40</v>
      </c>
      <c r="B19" s="11">
        <v>484</v>
      </c>
      <c r="C19" s="11">
        <v>299</v>
      </c>
      <c r="D19" s="11">
        <v>185</v>
      </c>
      <c r="E19" s="12" t="s">
        <v>8</v>
      </c>
      <c r="F19" s="12"/>
      <c r="G19" s="13" t="s">
        <v>60</v>
      </c>
    </row>
    <row r="20" spans="1:7" ht="30" customHeight="1" x14ac:dyDescent="0.25">
      <c r="A20" s="6" t="s">
        <v>42</v>
      </c>
      <c r="B20" s="7">
        <v>5</v>
      </c>
      <c r="C20" s="7">
        <v>31</v>
      </c>
      <c r="D20" s="7">
        <v>-26</v>
      </c>
      <c r="E20" s="8"/>
      <c r="F20" s="8" t="s">
        <v>15</v>
      </c>
      <c r="G20" s="9" t="s">
        <v>112</v>
      </c>
    </row>
    <row r="21" spans="1:7" ht="30" customHeight="1" x14ac:dyDescent="0.25">
      <c r="A21" s="10" t="s">
        <v>44</v>
      </c>
      <c r="B21" s="11">
        <v>495</v>
      </c>
      <c r="C21" s="11">
        <v>376</v>
      </c>
      <c r="D21" s="11">
        <v>119</v>
      </c>
      <c r="E21" s="12" t="s">
        <v>8</v>
      </c>
      <c r="F21" s="12"/>
      <c r="G21" s="13" t="s">
        <v>151</v>
      </c>
    </row>
    <row r="22" spans="1:7" ht="30" customHeight="1" x14ac:dyDescent="0.25">
      <c r="A22" s="6" t="s">
        <v>46</v>
      </c>
      <c r="B22" s="7">
        <v>73</v>
      </c>
      <c r="C22" s="7">
        <v>244</v>
      </c>
      <c r="D22" s="7">
        <v>-171</v>
      </c>
      <c r="E22" s="8"/>
      <c r="F22" s="8" t="s">
        <v>15</v>
      </c>
      <c r="G22" s="9" t="s">
        <v>160</v>
      </c>
    </row>
    <row r="23" spans="1:7" ht="30" customHeight="1" x14ac:dyDescent="0.25">
      <c r="A23" s="10" t="s">
        <v>48</v>
      </c>
      <c r="B23" s="11">
        <v>797</v>
      </c>
      <c r="C23" s="11">
        <v>504</v>
      </c>
      <c r="D23" s="11">
        <v>293</v>
      </c>
      <c r="E23" s="12" t="s">
        <v>8</v>
      </c>
      <c r="F23" s="12"/>
      <c r="G23" s="13" t="s">
        <v>56</v>
      </c>
    </row>
    <row r="24" spans="1:7" ht="30" customHeight="1" x14ac:dyDescent="0.25">
      <c r="A24" s="6" t="s">
        <v>50</v>
      </c>
      <c r="B24" s="7">
        <v>1765</v>
      </c>
      <c r="C24" s="7">
        <v>1452</v>
      </c>
      <c r="D24" s="7">
        <v>313</v>
      </c>
      <c r="E24" s="8" t="s">
        <v>8</v>
      </c>
      <c r="F24" s="8"/>
      <c r="G24" s="9" t="s">
        <v>157</v>
      </c>
    </row>
    <row r="25" spans="1:7" ht="30" customHeight="1" x14ac:dyDescent="0.25">
      <c r="A25" s="10" t="s">
        <v>52</v>
      </c>
      <c r="B25" s="11">
        <v>160</v>
      </c>
      <c r="C25" s="11">
        <v>341</v>
      </c>
      <c r="D25" s="11">
        <v>-181</v>
      </c>
      <c r="E25" s="12"/>
      <c r="F25" s="12" t="s">
        <v>15</v>
      </c>
      <c r="G25" s="13" t="s">
        <v>123</v>
      </c>
    </row>
    <row r="26" spans="1:7" ht="30" customHeight="1" x14ac:dyDescent="0.25">
      <c r="A26" s="6" t="s">
        <v>54</v>
      </c>
      <c r="B26" s="7">
        <v>0</v>
      </c>
      <c r="C26" s="7">
        <v>0</v>
      </c>
      <c r="D26" s="7">
        <v>0</v>
      </c>
      <c r="E26" s="8"/>
      <c r="F26" s="8"/>
      <c r="G26" s="9"/>
    </row>
    <row r="27" spans="1:7" ht="30" customHeight="1" x14ac:dyDescent="0.25">
      <c r="A27" s="10" t="s">
        <v>55</v>
      </c>
      <c r="B27" s="11">
        <v>191</v>
      </c>
      <c r="C27" s="11">
        <v>194</v>
      </c>
      <c r="D27" s="11">
        <v>-3</v>
      </c>
      <c r="E27" s="12"/>
      <c r="F27" s="12" t="s">
        <v>15</v>
      </c>
      <c r="G27" s="13" t="s">
        <v>178</v>
      </c>
    </row>
    <row r="28" spans="1:7" ht="30" customHeight="1" x14ac:dyDescent="0.25">
      <c r="A28" s="6" t="s">
        <v>57</v>
      </c>
      <c r="B28" s="7">
        <v>183</v>
      </c>
      <c r="C28" s="7">
        <v>113</v>
      </c>
      <c r="D28" s="7">
        <v>70</v>
      </c>
      <c r="E28" s="8" t="s">
        <v>8</v>
      </c>
      <c r="F28" s="8"/>
      <c r="G28" s="9" t="s">
        <v>60</v>
      </c>
    </row>
    <row r="29" spans="1:7" ht="30" customHeight="1" x14ac:dyDescent="0.25">
      <c r="A29" s="10" t="s">
        <v>59</v>
      </c>
      <c r="B29" s="11">
        <v>714</v>
      </c>
      <c r="C29" s="11">
        <v>513</v>
      </c>
      <c r="D29" s="11">
        <v>201</v>
      </c>
      <c r="E29" s="12" t="s">
        <v>8</v>
      </c>
      <c r="F29" s="12"/>
      <c r="G29" s="13" t="s">
        <v>233</v>
      </c>
    </row>
    <row r="30" spans="1:7" ht="30" customHeight="1" x14ac:dyDescent="0.25">
      <c r="A30" s="6" t="s">
        <v>61</v>
      </c>
      <c r="B30" s="7">
        <v>36</v>
      </c>
      <c r="C30" s="7">
        <v>48</v>
      </c>
      <c r="D30" s="7">
        <v>-12</v>
      </c>
      <c r="E30" s="8"/>
      <c r="F30" s="8" t="s">
        <v>15</v>
      </c>
      <c r="G30" s="9" t="s">
        <v>234</v>
      </c>
    </row>
    <row r="31" spans="1:7" ht="30" customHeight="1" x14ac:dyDescent="0.25">
      <c r="A31" s="10" t="s">
        <v>63</v>
      </c>
      <c r="B31" s="11">
        <v>41</v>
      </c>
      <c r="C31" s="11">
        <v>316</v>
      </c>
      <c r="D31" s="11">
        <v>-275</v>
      </c>
      <c r="E31" s="12"/>
      <c r="F31" s="12" t="s">
        <v>15</v>
      </c>
      <c r="G31" s="13" t="s">
        <v>229</v>
      </c>
    </row>
    <row r="32" spans="1:7" ht="30" customHeight="1" x14ac:dyDescent="0.25">
      <c r="A32" s="6" t="s">
        <v>65</v>
      </c>
      <c r="B32" s="7">
        <v>439</v>
      </c>
      <c r="C32" s="7">
        <v>495</v>
      </c>
      <c r="D32" s="7">
        <v>-56</v>
      </c>
      <c r="E32" s="8"/>
      <c r="F32" s="8" t="s">
        <v>15</v>
      </c>
      <c r="G32" s="9" t="s">
        <v>212</v>
      </c>
    </row>
    <row r="33" spans="1:7" ht="30" customHeight="1" x14ac:dyDescent="0.25">
      <c r="A33" s="10" t="s">
        <v>67</v>
      </c>
      <c r="B33" s="11">
        <v>366</v>
      </c>
      <c r="C33" s="11">
        <v>417</v>
      </c>
      <c r="D33" s="11">
        <v>-51</v>
      </c>
      <c r="E33" s="12"/>
      <c r="F33" s="12" t="s">
        <v>15</v>
      </c>
      <c r="G33" s="13" t="s">
        <v>126</v>
      </c>
    </row>
    <row r="34" spans="1:7" ht="30" customHeight="1" x14ac:dyDescent="0.25">
      <c r="A34" s="6" t="s">
        <v>69</v>
      </c>
      <c r="B34" s="7">
        <v>178</v>
      </c>
      <c r="C34" s="7">
        <v>147</v>
      </c>
      <c r="D34" s="7">
        <v>31</v>
      </c>
      <c r="E34" s="8" t="s">
        <v>8</v>
      </c>
      <c r="F34" s="8"/>
      <c r="G34" s="9" t="s">
        <v>20</v>
      </c>
    </row>
    <row r="35" spans="1:7" ht="30" customHeight="1" x14ac:dyDescent="0.25">
      <c r="A35" s="10" t="s">
        <v>71</v>
      </c>
      <c r="B35" s="11">
        <v>1218</v>
      </c>
      <c r="C35" s="11">
        <v>1605</v>
      </c>
      <c r="D35" s="11">
        <v>-387</v>
      </c>
      <c r="E35" s="12"/>
      <c r="F35" s="12" t="s">
        <v>15</v>
      </c>
      <c r="G35" s="13" t="s">
        <v>137</v>
      </c>
    </row>
    <row r="36" spans="1:7" ht="30" customHeight="1" x14ac:dyDescent="0.25">
      <c r="A36" s="6" t="s">
        <v>73</v>
      </c>
      <c r="B36" s="7">
        <v>173</v>
      </c>
      <c r="C36" s="7">
        <v>621</v>
      </c>
      <c r="D36" s="7">
        <v>-448</v>
      </c>
      <c r="E36" s="8"/>
      <c r="F36" s="8" t="s">
        <v>15</v>
      </c>
      <c r="G36" s="9" t="s">
        <v>74</v>
      </c>
    </row>
    <row r="37" spans="1:7" ht="30" customHeight="1" x14ac:dyDescent="0.25">
      <c r="A37" s="10" t="s">
        <v>75</v>
      </c>
      <c r="B37" s="11">
        <v>597</v>
      </c>
      <c r="C37" s="11">
        <v>296</v>
      </c>
      <c r="D37" s="11">
        <v>301</v>
      </c>
      <c r="E37" s="12" t="s">
        <v>8</v>
      </c>
      <c r="F37" s="12"/>
      <c r="G37" s="13" t="s">
        <v>208</v>
      </c>
    </row>
    <row r="38" spans="1:7" ht="30" customHeight="1" x14ac:dyDescent="0.25">
      <c r="A38" s="6" t="s">
        <v>77</v>
      </c>
      <c r="B38" s="7">
        <v>37</v>
      </c>
      <c r="C38" s="7">
        <v>192</v>
      </c>
      <c r="D38" s="7">
        <v>-155</v>
      </c>
      <c r="E38" s="8"/>
      <c r="F38" s="8" t="s">
        <v>15</v>
      </c>
      <c r="G38" s="9" t="s">
        <v>171</v>
      </c>
    </row>
    <row r="39" spans="1:7" ht="30" customHeight="1" x14ac:dyDescent="0.25">
      <c r="A39" s="10" t="s">
        <v>79</v>
      </c>
      <c r="B39" s="11">
        <v>4</v>
      </c>
      <c r="C39" s="11">
        <v>28</v>
      </c>
      <c r="D39" s="11">
        <v>-24</v>
      </c>
      <c r="E39" s="12"/>
      <c r="F39" s="12" t="s">
        <v>15</v>
      </c>
      <c r="G39" s="13" t="s">
        <v>149</v>
      </c>
    </row>
    <row r="40" spans="1:7" ht="30" customHeight="1" x14ac:dyDescent="0.25">
      <c r="A40" s="22" t="s">
        <v>81</v>
      </c>
      <c r="B40" s="23">
        <v>2</v>
      </c>
      <c r="C40" s="23">
        <v>40</v>
      </c>
      <c r="D40" s="23">
        <v>-38</v>
      </c>
      <c r="E40" s="24"/>
      <c r="F40" s="24" t="s">
        <v>15</v>
      </c>
      <c r="G40" s="25" t="s">
        <v>43</v>
      </c>
    </row>
    <row r="41" spans="1:7" ht="30" customHeight="1" x14ac:dyDescent="0.25">
      <c r="A41" s="26" t="s">
        <v>83</v>
      </c>
      <c r="B41" s="27">
        <v>8</v>
      </c>
      <c r="C41" s="27">
        <v>9</v>
      </c>
      <c r="D41" s="27">
        <v>-1</v>
      </c>
      <c r="E41" s="28"/>
      <c r="F41" s="28" t="s">
        <v>15</v>
      </c>
      <c r="G41" s="29" t="s">
        <v>212</v>
      </c>
    </row>
    <row r="42" spans="1:7" ht="30" customHeight="1" x14ac:dyDescent="0.25">
      <c r="A42" s="22" t="s">
        <v>85</v>
      </c>
      <c r="B42" s="23">
        <v>5</v>
      </c>
      <c r="C42" s="23">
        <v>16</v>
      </c>
      <c r="D42" s="23">
        <v>-11</v>
      </c>
      <c r="E42" s="24"/>
      <c r="F42" s="24" t="s">
        <v>15</v>
      </c>
      <c r="G42" s="25" t="s">
        <v>36</v>
      </c>
    </row>
    <row r="43" spans="1:7" ht="30" customHeight="1" x14ac:dyDescent="0.25">
      <c r="A43" s="26" t="s">
        <v>87</v>
      </c>
      <c r="B43" s="27">
        <v>86</v>
      </c>
      <c r="C43" s="27">
        <v>85</v>
      </c>
      <c r="D43" s="27">
        <v>1</v>
      </c>
      <c r="E43" s="28" t="s">
        <v>8</v>
      </c>
      <c r="F43" s="28"/>
      <c r="G43" s="29" t="s">
        <v>13</v>
      </c>
    </row>
    <row r="44" spans="1:7" ht="30" customHeight="1" x14ac:dyDescent="0.25">
      <c r="A44" s="6" t="s">
        <v>89</v>
      </c>
      <c r="B44" s="7">
        <v>60</v>
      </c>
      <c r="C44" s="7">
        <v>167</v>
      </c>
      <c r="D44" s="7">
        <v>-107</v>
      </c>
      <c r="E44" s="8"/>
      <c r="F44" s="8" t="s">
        <v>15</v>
      </c>
      <c r="G44" s="9" t="s">
        <v>128</v>
      </c>
    </row>
    <row r="45" spans="1:7" ht="30" customHeight="1" x14ac:dyDescent="0.25">
      <c r="A45" s="10" t="s">
        <v>91</v>
      </c>
      <c r="B45" s="11">
        <v>589</v>
      </c>
      <c r="C45" s="11">
        <v>620</v>
      </c>
      <c r="D45" s="11">
        <v>-31</v>
      </c>
      <c r="E45" s="12"/>
      <c r="F45" s="12" t="s">
        <v>15</v>
      </c>
      <c r="G45" s="13" t="s">
        <v>39</v>
      </c>
    </row>
    <row r="46" spans="1:7" ht="30" customHeight="1" x14ac:dyDescent="0.25">
      <c r="A46" s="6" t="s">
        <v>92</v>
      </c>
      <c r="B46" s="7">
        <v>907</v>
      </c>
      <c r="C46" s="7">
        <v>710</v>
      </c>
      <c r="D46" s="7">
        <v>197</v>
      </c>
      <c r="E46" s="8" t="s">
        <v>8</v>
      </c>
      <c r="F46" s="8"/>
      <c r="G46" s="9" t="s">
        <v>96</v>
      </c>
    </row>
    <row r="47" spans="1:7" ht="30" customHeight="1" x14ac:dyDescent="0.25">
      <c r="A47" s="10" t="s">
        <v>94</v>
      </c>
      <c r="B47" s="11">
        <v>221</v>
      </c>
      <c r="C47" s="11">
        <v>561</v>
      </c>
      <c r="D47" s="11">
        <v>-340</v>
      </c>
      <c r="E47" s="12"/>
      <c r="F47" s="12" t="s">
        <v>15</v>
      </c>
      <c r="G47" s="13" t="s">
        <v>136</v>
      </c>
    </row>
    <row r="48" spans="1:7" ht="30" customHeight="1" x14ac:dyDescent="0.25">
      <c r="A48" s="6" t="s">
        <v>95</v>
      </c>
      <c r="B48" s="7">
        <v>429</v>
      </c>
      <c r="C48" s="7">
        <v>172</v>
      </c>
      <c r="D48" s="7">
        <v>257</v>
      </c>
      <c r="E48" s="8" t="s">
        <v>8</v>
      </c>
      <c r="F48" s="8"/>
      <c r="G48" s="9" t="s">
        <v>235</v>
      </c>
    </row>
    <row r="49" spans="1:7" ht="30" customHeight="1" x14ac:dyDescent="0.25">
      <c r="A49" s="10" t="s">
        <v>97</v>
      </c>
      <c r="B49" s="11">
        <v>917</v>
      </c>
      <c r="C49" s="11">
        <v>562</v>
      </c>
      <c r="D49" s="11">
        <v>355</v>
      </c>
      <c r="E49" s="12" t="s">
        <v>8</v>
      </c>
      <c r="F49" s="12"/>
      <c r="G49" s="13" t="s">
        <v>154</v>
      </c>
    </row>
    <row r="50" spans="1:7" ht="30" customHeight="1" x14ac:dyDescent="0.25">
      <c r="A50" s="6" t="s">
        <v>99</v>
      </c>
      <c r="B50" s="7">
        <v>112</v>
      </c>
      <c r="C50" s="7">
        <v>134</v>
      </c>
      <c r="D50" s="7">
        <v>-22</v>
      </c>
      <c r="E50" s="8"/>
      <c r="F50" s="8" t="s">
        <v>15</v>
      </c>
      <c r="G50" s="9" t="s">
        <v>113</v>
      </c>
    </row>
    <row r="51" spans="1:7" ht="30" customHeight="1" x14ac:dyDescent="0.25">
      <c r="A51" s="10" t="s">
        <v>101</v>
      </c>
      <c r="B51" s="11">
        <v>375</v>
      </c>
      <c r="C51" s="11">
        <v>376</v>
      </c>
      <c r="D51" s="11">
        <v>-1</v>
      </c>
      <c r="E51" s="12"/>
      <c r="F51" s="12" t="s">
        <v>15</v>
      </c>
      <c r="G51" s="13" t="s">
        <v>66</v>
      </c>
    </row>
    <row r="52" spans="1:7" ht="30" customHeight="1" x14ac:dyDescent="0.25">
      <c r="A52" s="6" t="s">
        <v>103</v>
      </c>
      <c r="B52" s="7">
        <v>57</v>
      </c>
      <c r="C52" s="7">
        <v>177</v>
      </c>
      <c r="D52" s="7">
        <v>-120</v>
      </c>
      <c r="E52" s="8"/>
      <c r="F52" s="8" t="s">
        <v>15</v>
      </c>
      <c r="G52" s="9" t="s">
        <v>28</v>
      </c>
    </row>
    <row r="53" spans="1:7" ht="30" customHeight="1" x14ac:dyDescent="0.25">
      <c r="A53" s="10" t="s">
        <v>105</v>
      </c>
      <c r="B53" s="11">
        <v>49</v>
      </c>
      <c r="C53" s="11">
        <v>202</v>
      </c>
      <c r="D53" s="11">
        <v>-153</v>
      </c>
      <c r="E53" s="12"/>
      <c r="F53" s="12" t="s">
        <v>15</v>
      </c>
      <c r="G53" s="13" t="s">
        <v>163</v>
      </c>
    </row>
    <row r="54" spans="1:7" ht="30" customHeight="1" x14ac:dyDescent="0.25">
      <c r="A54" s="30" t="s">
        <v>107</v>
      </c>
      <c r="B54" s="31">
        <v>381</v>
      </c>
      <c r="C54" s="31">
        <v>235</v>
      </c>
      <c r="D54" s="31">
        <v>146</v>
      </c>
      <c r="E54" s="32" t="s">
        <v>8</v>
      </c>
      <c r="F54" s="32"/>
      <c r="G54" s="33" t="s">
        <v>60</v>
      </c>
    </row>
  </sheetData>
  <autoFilter ref="A1:G54" xr:uid="{00000000-0009-0000-0000-000007000000}"/>
  <conditionalFormatting sqref="E2">
    <cfRule type="expression" dxfId="39" priority="7">
      <formula>"D2&gt;0"</formula>
    </cfRule>
  </conditionalFormatting>
  <conditionalFormatting sqref="E2:E37 E40:E54">
    <cfRule type="containsText" dxfId="38" priority="6" operator="containsText" text="We borrowerd more than we lent">
      <formula>NOT(ISERROR(SEARCH("We borrowerd more than we lent",E2)))</formula>
    </cfRule>
  </conditionalFormatting>
  <conditionalFormatting sqref="F2:F37 F40:F54">
    <cfRule type="containsText" dxfId="37" priority="5" operator="containsText" text="We lent more than we borrowed">
      <formula>NOT(ISERROR(SEARCH("We lent more than we borrowed",F2)))</formula>
    </cfRule>
  </conditionalFormatting>
  <conditionalFormatting sqref="E38">
    <cfRule type="containsText" dxfId="36" priority="4" operator="containsText" text="We borrowerd more than we lent">
      <formula>NOT(ISERROR(SEARCH("We borrowerd more than we lent",E38)))</formula>
    </cfRule>
  </conditionalFormatting>
  <conditionalFormatting sqref="F38">
    <cfRule type="containsText" dxfId="35" priority="3" operator="containsText" text="We lent more than we borrowed">
      <formula>NOT(ISERROR(SEARCH("We lent more than we borrowed",F38)))</formula>
    </cfRule>
  </conditionalFormatting>
  <conditionalFormatting sqref="E39">
    <cfRule type="containsText" dxfId="34" priority="2" operator="containsText" text="We borrowerd more than we lent">
      <formula>NOT(ISERROR(SEARCH("We borrowerd more than we lent",E39)))</formula>
    </cfRule>
  </conditionalFormatting>
  <conditionalFormatting sqref="F39">
    <cfRule type="containsText" dxfId="33" priority="1" operator="containsText" text="We lent more than we borrowed">
      <formula>NOT(ISERROR(SEARCH("We lent more than we borrowed",F39)))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G54"/>
  <sheetViews>
    <sheetView zoomScale="85" zoomScaleNormal="85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ColWidth="9.140625" defaultRowHeight="15" x14ac:dyDescent="0.25"/>
  <cols>
    <col min="1" max="1" width="45.7109375" customWidth="1"/>
    <col min="2" max="3" width="30.7109375" customWidth="1"/>
    <col min="4" max="4" width="20.7109375" customWidth="1"/>
    <col min="5" max="6" width="25.7109375" style="34" customWidth="1"/>
    <col min="7" max="7" width="28.7109375" customWidth="1"/>
  </cols>
  <sheetData>
    <row r="1" spans="1:7" s="5" customFormat="1" ht="30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4" t="s">
        <v>6</v>
      </c>
    </row>
    <row r="2" spans="1:7" ht="30" customHeight="1" x14ac:dyDescent="0.25">
      <c r="A2" s="6" t="s">
        <v>7</v>
      </c>
      <c r="B2" s="7"/>
      <c r="C2" s="7"/>
      <c r="D2" s="7"/>
      <c r="E2" s="8"/>
      <c r="F2" s="8"/>
      <c r="G2" s="9"/>
    </row>
    <row r="3" spans="1:7" ht="30" customHeight="1" x14ac:dyDescent="0.25">
      <c r="A3" s="10" t="s">
        <v>10</v>
      </c>
      <c r="B3" s="11"/>
      <c r="C3" s="11"/>
      <c r="D3" s="11"/>
      <c r="E3" s="12"/>
      <c r="F3" s="12"/>
      <c r="G3" s="13"/>
    </row>
    <row r="4" spans="1:7" ht="30" customHeight="1" x14ac:dyDescent="0.25">
      <c r="A4" s="6" t="s">
        <v>12</v>
      </c>
      <c r="B4" s="7"/>
      <c r="C4" s="7"/>
      <c r="D4" s="7"/>
      <c r="E4" s="8"/>
      <c r="F4" s="8"/>
      <c r="G4" s="9"/>
    </row>
    <row r="5" spans="1:7" ht="30" customHeight="1" x14ac:dyDescent="0.25">
      <c r="A5" s="10" t="s">
        <v>14</v>
      </c>
      <c r="B5" s="11"/>
      <c r="C5" s="11"/>
      <c r="D5" s="11"/>
      <c r="E5" s="12"/>
      <c r="F5" s="12"/>
      <c r="G5" s="13"/>
    </row>
    <row r="6" spans="1:7" ht="30" customHeight="1" x14ac:dyDescent="0.25">
      <c r="A6" s="6" t="s">
        <v>17</v>
      </c>
      <c r="B6" s="7"/>
      <c r="C6" s="7"/>
      <c r="D6" s="7"/>
      <c r="E6" s="8"/>
      <c r="F6" s="8"/>
      <c r="G6" s="9"/>
    </row>
    <row r="7" spans="1:7" ht="30" customHeight="1" x14ac:dyDescent="0.25">
      <c r="A7" s="10" t="s">
        <v>19</v>
      </c>
      <c r="B7" s="11"/>
      <c r="C7" s="11"/>
      <c r="D7" s="11"/>
      <c r="E7" s="12"/>
      <c r="F7" s="12"/>
      <c r="G7" s="13"/>
    </row>
    <row r="8" spans="1:7" ht="30" customHeight="1" x14ac:dyDescent="0.25">
      <c r="A8" s="6" t="s">
        <v>21</v>
      </c>
      <c r="B8" s="7"/>
      <c r="C8" s="7"/>
      <c r="D8" s="7"/>
      <c r="E8" s="8"/>
      <c r="F8" s="8"/>
      <c r="G8" s="9"/>
    </row>
    <row r="9" spans="1:7" ht="30" customHeight="1" x14ac:dyDescent="0.25">
      <c r="A9" s="10" t="s">
        <v>23</v>
      </c>
      <c r="B9" s="11"/>
      <c r="C9" s="11"/>
      <c r="D9" s="11"/>
      <c r="E9" s="12"/>
      <c r="F9" s="12"/>
      <c r="G9" s="13"/>
    </row>
    <row r="10" spans="1:7" ht="30" customHeight="1" x14ac:dyDescent="0.25">
      <c r="A10" s="6" t="s">
        <v>24</v>
      </c>
      <c r="B10" s="7"/>
      <c r="C10" s="7"/>
      <c r="D10" s="7"/>
      <c r="E10" s="8"/>
      <c r="F10" s="8"/>
      <c r="G10" s="9"/>
    </row>
    <row r="11" spans="1:7" ht="30" customHeight="1" x14ac:dyDescent="0.25">
      <c r="A11" s="10" t="s">
        <v>26</v>
      </c>
      <c r="B11" s="11"/>
      <c r="C11" s="11"/>
      <c r="D11" s="11"/>
      <c r="E11" s="12"/>
      <c r="F11" s="12"/>
      <c r="G11" s="13"/>
    </row>
    <row r="12" spans="1:7" ht="30" customHeight="1" x14ac:dyDescent="0.25">
      <c r="A12" s="14" t="s">
        <v>27</v>
      </c>
      <c r="B12" s="15"/>
      <c r="C12" s="15"/>
      <c r="D12" s="15"/>
      <c r="E12" s="16"/>
      <c r="F12" s="16"/>
      <c r="G12" s="17"/>
    </row>
    <row r="13" spans="1:7" ht="30" customHeight="1" x14ac:dyDescent="0.25">
      <c r="A13" s="18" t="s">
        <v>29</v>
      </c>
      <c r="B13" s="19"/>
      <c r="C13" s="19"/>
      <c r="D13" s="19"/>
      <c r="E13" s="20"/>
      <c r="F13" s="20"/>
      <c r="G13" s="21"/>
    </row>
    <row r="14" spans="1:7" ht="30" customHeight="1" x14ac:dyDescent="0.25">
      <c r="A14" s="14" t="s">
        <v>31</v>
      </c>
      <c r="B14" s="15"/>
      <c r="C14" s="15"/>
      <c r="D14" s="15"/>
      <c r="E14" s="16"/>
      <c r="F14" s="16"/>
      <c r="G14" s="17"/>
    </row>
    <row r="15" spans="1:7" ht="30" customHeight="1" x14ac:dyDescent="0.25">
      <c r="A15" s="18" t="s">
        <v>33</v>
      </c>
      <c r="B15" s="19"/>
      <c r="C15" s="19"/>
      <c r="D15" s="19"/>
      <c r="E15" s="20"/>
      <c r="F15" s="20"/>
      <c r="G15" s="21"/>
    </row>
    <row r="16" spans="1:7" ht="30" customHeight="1" x14ac:dyDescent="0.25">
      <c r="A16" s="6" t="s">
        <v>35</v>
      </c>
      <c r="B16" s="7"/>
      <c r="C16" s="7"/>
      <c r="D16" s="7"/>
      <c r="E16" s="8"/>
      <c r="F16" s="8"/>
      <c r="G16" s="9"/>
    </row>
    <row r="17" spans="1:7" ht="30" customHeight="1" x14ac:dyDescent="0.25">
      <c r="A17" s="10" t="s">
        <v>37</v>
      </c>
      <c r="B17" s="11"/>
      <c r="C17" s="11"/>
      <c r="D17" s="11"/>
      <c r="E17" s="12"/>
      <c r="F17" s="12"/>
      <c r="G17" s="13"/>
    </row>
    <row r="18" spans="1:7" ht="30" customHeight="1" x14ac:dyDescent="0.25">
      <c r="A18" s="6" t="s">
        <v>38</v>
      </c>
      <c r="B18" s="7"/>
      <c r="C18" s="7"/>
      <c r="D18" s="7"/>
      <c r="E18" s="8"/>
      <c r="F18" s="8"/>
      <c r="G18" s="9"/>
    </row>
    <row r="19" spans="1:7" ht="30" customHeight="1" x14ac:dyDescent="0.25">
      <c r="A19" s="10" t="s">
        <v>40</v>
      </c>
      <c r="B19" s="11"/>
      <c r="C19" s="11"/>
      <c r="D19" s="11"/>
      <c r="E19" s="12"/>
      <c r="F19" s="12"/>
      <c r="G19" s="13"/>
    </row>
    <row r="20" spans="1:7" ht="30" customHeight="1" x14ac:dyDescent="0.25">
      <c r="A20" s="6" t="s">
        <v>42</v>
      </c>
      <c r="B20" s="7"/>
      <c r="C20" s="7"/>
      <c r="D20" s="7"/>
      <c r="E20" s="8"/>
      <c r="F20" s="8"/>
      <c r="G20" s="9"/>
    </row>
    <row r="21" spans="1:7" ht="30" customHeight="1" x14ac:dyDescent="0.25">
      <c r="A21" s="10" t="s">
        <v>44</v>
      </c>
      <c r="B21" s="11"/>
      <c r="C21" s="11"/>
      <c r="D21" s="11"/>
      <c r="E21" s="12"/>
      <c r="F21" s="12"/>
      <c r="G21" s="13"/>
    </row>
    <row r="22" spans="1:7" ht="30" customHeight="1" x14ac:dyDescent="0.25">
      <c r="A22" s="6" t="s">
        <v>46</v>
      </c>
      <c r="B22" s="7"/>
      <c r="C22" s="7"/>
      <c r="D22" s="7"/>
      <c r="E22" s="8"/>
      <c r="F22" s="8"/>
      <c r="G22" s="9"/>
    </row>
    <row r="23" spans="1:7" ht="30" customHeight="1" x14ac:dyDescent="0.25">
      <c r="A23" s="10" t="s">
        <v>48</v>
      </c>
      <c r="B23" s="11"/>
      <c r="C23" s="11"/>
      <c r="D23" s="11"/>
      <c r="E23" s="12"/>
      <c r="F23" s="12"/>
      <c r="G23" s="13"/>
    </row>
    <row r="24" spans="1:7" ht="30" customHeight="1" x14ac:dyDescent="0.25">
      <c r="A24" s="6" t="s">
        <v>50</v>
      </c>
      <c r="B24" s="7"/>
      <c r="C24" s="7"/>
      <c r="D24" s="7"/>
      <c r="E24" s="8"/>
      <c r="F24" s="8"/>
      <c r="G24" s="9"/>
    </row>
    <row r="25" spans="1:7" ht="30" customHeight="1" x14ac:dyDescent="0.25">
      <c r="A25" s="10" t="s">
        <v>52</v>
      </c>
      <c r="B25" s="11"/>
      <c r="C25" s="11"/>
      <c r="D25" s="11"/>
      <c r="E25" s="12"/>
      <c r="F25" s="12"/>
      <c r="G25" s="13"/>
    </row>
    <row r="26" spans="1:7" ht="30" customHeight="1" x14ac:dyDescent="0.25">
      <c r="A26" s="6" t="s">
        <v>54</v>
      </c>
      <c r="B26" s="7"/>
      <c r="C26" s="7"/>
      <c r="D26" s="7"/>
      <c r="E26" s="8"/>
      <c r="F26" s="8"/>
      <c r="G26" s="9"/>
    </row>
    <row r="27" spans="1:7" ht="30" customHeight="1" x14ac:dyDescent="0.25">
      <c r="A27" s="10" t="s">
        <v>55</v>
      </c>
      <c r="B27" s="11"/>
      <c r="C27" s="11"/>
      <c r="D27" s="11"/>
      <c r="E27" s="12"/>
      <c r="F27" s="12"/>
      <c r="G27" s="13"/>
    </row>
    <row r="28" spans="1:7" ht="30" customHeight="1" x14ac:dyDescent="0.25">
      <c r="A28" s="6" t="s">
        <v>57</v>
      </c>
      <c r="B28" s="7"/>
      <c r="C28" s="7"/>
      <c r="D28" s="7"/>
      <c r="E28" s="8"/>
      <c r="F28" s="8"/>
      <c r="G28" s="9"/>
    </row>
    <row r="29" spans="1:7" ht="30" customHeight="1" x14ac:dyDescent="0.25">
      <c r="A29" s="10" t="s">
        <v>59</v>
      </c>
      <c r="B29" s="11"/>
      <c r="C29" s="11"/>
      <c r="D29" s="11"/>
      <c r="E29" s="12"/>
      <c r="F29" s="12"/>
      <c r="G29" s="13"/>
    </row>
    <row r="30" spans="1:7" ht="30" customHeight="1" x14ac:dyDescent="0.25">
      <c r="A30" s="6" t="s">
        <v>61</v>
      </c>
      <c r="B30" s="7"/>
      <c r="C30" s="7"/>
      <c r="D30" s="7"/>
      <c r="E30" s="8"/>
      <c r="F30" s="8"/>
      <c r="G30" s="9"/>
    </row>
    <row r="31" spans="1:7" ht="30" customHeight="1" x14ac:dyDescent="0.25">
      <c r="A31" s="10" t="s">
        <v>63</v>
      </c>
      <c r="B31" s="11"/>
      <c r="C31" s="11"/>
      <c r="D31" s="11"/>
      <c r="E31" s="12"/>
      <c r="F31" s="12"/>
      <c r="G31" s="13"/>
    </row>
    <row r="32" spans="1:7" ht="30" customHeight="1" x14ac:dyDescent="0.25">
      <c r="A32" s="6" t="s">
        <v>65</v>
      </c>
      <c r="B32" s="7"/>
      <c r="C32" s="7"/>
      <c r="D32" s="7"/>
      <c r="E32" s="8"/>
      <c r="F32" s="8"/>
      <c r="G32" s="9"/>
    </row>
    <row r="33" spans="1:7" ht="30" customHeight="1" x14ac:dyDescent="0.25">
      <c r="A33" s="10" t="s">
        <v>67</v>
      </c>
      <c r="B33" s="11"/>
      <c r="C33" s="11"/>
      <c r="D33" s="11"/>
      <c r="E33" s="12"/>
      <c r="F33" s="12"/>
      <c r="G33" s="13"/>
    </row>
    <row r="34" spans="1:7" ht="30" customHeight="1" x14ac:dyDescent="0.25">
      <c r="A34" s="6" t="s">
        <v>69</v>
      </c>
      <c r="B34" s="7"/>
      <c r="C34" s="7"/>
      <c r="D34" s="7"/>
      <c r="E34" s="8"/>
      <c r="F34" s="8"/>
      <c r="G34" s="9"/>
    </row>
    <row r="35" spans="1:7" ht="30" customHeight="1" x14ac:dyDescent="0.25">
      <c r="A35" s="10" t="s">
        <v>71</v>
      </c>
      <c r="B35" s="11"/>
      <c r="C35" s="11"/>
      <c r="D35" s="11"/>
      <c r="E35" s="12"/>
      <c r="F35" s="12"/>
      <c r="G35" s="13"/>
    </row>
    <row r="36" spans="1:7" ht="30" customHeight="1" x14ac:dyDescent="0.25">
      <c r="A36" s="6" t="s">
        <v>73</v>
      </c>
      <c r="B36" s="7"/>
      <c r="C36" s="7"/>
      <c r="D36" s="7"/>
      <c r="E36" s="8"/>
      <c r="F36" s="8"/>
      <c r="G36" s="9"/>
    </row>
    <row r="37" spans="1:7" ht="30" customHeight="1" x14ac:dyDescent="0.25">
      <c r="A37" s="10" t="s">
        <v>75</v>
      </c>
      <c r="B37" s="11"/>
      <c r="C37" s="11"/>
      <c r="D37" s="11"/>
      <c r="E37" s="12"/>
      <c r="F37" s="12"/>
      <c r="G37" s="13"/>
    </row>
    <row r="38" spans="1:7" ht="30" customHeight="1" x14ac:dyDescent="0.25">
      <c r="A38" s="6" t="s">
        <v>77</v>
      </c>
      <c r="B38" s="7"/>
      <c r="C38" s="7"/>
      <c r="D38" s="7"/>
      <c r="E38" s="8"/>
      <c r="F38" s="8"/>
      <c r="G38" s="9"/>
    </row>
    <row r="39" spans="1:7" ht="30" customHeight="1" x14ac:dyDescent="0.25">
      <c r="A39" s="10" t="s">
        <v>79</v>
      </c>
      <c r="B39" s="11"/>
      <c r="C39" s="11"/>
      <c r="D39" s="11"/>
      <c r="E39" s="12"/>
      <c r="F39" s="12"/>
      <c r="G39" s="13"/>
    </row>
    <row r="40" spans="1:7" ht="30" customHeight="1" x14ac:dyDescent="0.25">
      <c r="A40" s="22" t="s">
        <v>81</v>
      </c>
      <c r="B40" s="23"/>
      <c r="C40" s="23"/>
      <c r="D40" s="23"/>
      <c r="E40" s="24"/>
      <c r="F40" s="24"/>
      <c r="G40" s="25"/>
    </row>
    <row r="41" spans="1:7" ht="30" customHeight="1" x14ac:dyDescent="0.25">
      <c r="A41" s="26" t="s">
        <v>83</v>
      </c>
      <c r="B41" s="27"/>
      <c r="C41" s="27"/>
      <c r="D41" s="27"/>
      <c r="E41" s="28"/>
      <c r="F41" s="28"/>
      <c r="G41" s="29"/>
    </row>
    <row r="42" spans="1:7" ht="30" customHeight="1" x14ac:dyDescent="0.25">
      <c r="A42" s="22" t="s">
        <v>85</v>
      </c>
      <c r="B42" s="23"/>
      <c r="C42" s="23"/>
      <c r="D42" s="23"/>
      <c r="E42" s="24"/>
      <c r="F42" s="24"/>
      <c r="G42" s="25"/>
    </row>
    <row r="43" spans="1:7" ht="30" customHeight="1" x14ac:dyDescent="0.25">
      <c r="A43" s="26" t="s">
        <v>87</v>
      </c>
      <c r="B43" s="27"/>
      <c r="C43" s="27"/>
      <c r="D43" s="27"/>
      <c r="E43" s="28"/>
      <c r="F43" s="28"/>
      <c r="G43" s="29"/>
    </row>
    <row r="44" spans="1:7" ht="30" customHeight="1" x14ac:dyDescent="0.25">
      <c r="A44" s="6" t="s">
        <v>89</v>
      </c>
      <c r="B44" s="7"/>
      <c r="C44" s="7"/>
      <c r="D44" s="7"/>
      <c r="E44" s="8"/>
      <c r="F44" s="8"/>
      <c r="G44" s="9"/>
    </row>
    <row r="45" spans="1:7" ht="30" customHeight="1" x14ac:dyDescent="0.25">
      <c r="A45" s="10" t="s">
        <v>91</v>
      </c>
      <c r="B45" s="11"/>
      <c r="C45" s="11"/>
      <c r="D45" s="11"/>
      <c r="E45" s="12"/>
      <c r="F45" s="12"/>
      <c r="G45" s="13"/>
    </row>
    <row r="46" spans="1:7" ht="30" customHeight="1" x14ac:dyDescent="0.25">
      <c r="A46" s="6" t="s">
        <v>92</v>
      </c>
      <c r="B46" s="7"/>
      <c r="C46" s="7"/>
      <c r="D46" s="7"/>
      <c r="E46" s="8"/>
      <c r="F46" s="8"/>
      <c r="G46" s="9"/>
    </row>
    <row r="47" spans="1:7" ht="30" customHeight="1" x14ac:dyDescent="0.25">
      <c r="A47" s="10" t="s">
        <v>94</v>
      </c>
      <c r="B47" s="11"/>
      <c r="C47" s="11"/>
      <c r="D47" s="11"/>
      <c r="E47" s="12"/>
      <c r="F47" s="12"/>
      <c r="G47" s="13"/>
    </row>
    <row r="48" spans="1:7" ht="30" customHeight="1" x14ac:dyDescent="0.25">
      <c r="A48" s="6" t="s">
        <v>95</v>
      </c>
      <c r="B48" s="7"/>
      <c r="C48" s="7"/>
      <c r="D48" s="7"/>
      <c r="E48" s="8"/>
      <c r="F48" s="8"/>
      <c r="G48" s="9"/>
    </row>
    <row r="49" spans="1:7" ht="30" customHeight="1" x14ac:dyDescent="0.25">
      <c r="A49" s="10" t="s">
        <v>97</v>
      </c>
      <c r="B49" s="11"/>
      <c r="C49" s="11"/>
      <c r="D49" s="11"/>
      <c r="E49" s="12"/>
      <c r="F49" s="12"/>
      <c r="G49" s="13"/>
    </row>
    <row r="50" spans="1:7" ht="30" customHeight="1" x14ac:dyDescent="0.25">
      <c r="A50" s="6" t="s">
        <v>99</v>
      </c>
      <c r="B50" s="7"/>
      <c r="C50" s="7"/>
      <c r="D50" s="7"/>
      <c r="E50" s="8"/>
      <c r="F50" s="8"/>
      <c r="G50" s="9"/>
    </row>
    <row r="51" spans="1:7" ht="30" customHeight="1" x14ac:dyDescent="0.25">
      <c r="A51" s="10" t="s">
        <v>101</v>
      </c>
      <c r="B51" s="11"/>
      <c r="C51" s="11"/>
      <c r="D51" s="11"/>
      <c r="E51" s="12"/>
      <c r="F51" s="12"/>
      <c r="G51" s="13"/>
    </row>
    <row r="52" spans="1:7" ht="30" customHeight="1" x14ac:dyDescent="0.25">
      <c r="A52" s="6" t="s">
        <v>103</v>
      </c>
      <c r="B52" s="7"/>
      <c r="C52" s="7"/>
      <c r="D52" s="7"/>
      <c r="E52" s="8"/>
      <c r="F52" s="8"/>
      <c r="G52" s="9"/>
    </row>
    <row r="53" spans="1:7" ht="30" customHeight="1" x14ac:dyDescent="0.25">
      <c r="A53" s="10" t="s">
        <v>105</v>
      </c>
      <c r="B53" s="11"/>
      <c r="C53" s="11"/>
      <c r="D53" s="11"/>
      <c r="E53" s="12"/>
      <c r="F53" s="12"/>
      <c r="G53" s="13"/>
    </row>
    <row r="54" spans="1:7" ht="30" customHeight="1" x14ac:dyDescent="0.25">
      <c r="A54" s="30" t="s">
        <v>107</v>
      </c>
      <c r="B54" s="31"/>
      <c r="C54" s="31"/>
      <c r="D54" s="31"/>
      <c r="E54" s="32"/>
      <c r="F54" s="32"/>
      <c r="G54" s="33"/>
    </row>
  </sheetData>
  <autoFilter ref="A1:G54" xr:uid="{00000000-0009-0000-0000-000008000000}"/>
  <conditionalFormatting sqref="E2">
    <cfRule type="expression" dxfId="32" priority="7">
      <formula>"D2&gt;0"</formula>
    </cfRule>
  </conditionalFormatting>
  <conditionalFormatting sqref="E2:E37 E40:E54">
    <cfRule type="containsText" dxfId="31" priority="6" operator="containsText" text="We borrowerd more than we lent">
      <formula>NOT(ISERROR(SEARCH("We borrowerd more than we lent",E2)))</formula>
    </cfRule>
  </conditionalFormatting>
  <conditionalFormatting sqref="F2:F37 F40:F54">
    <cfRule type="containsText" dxfId="30" priority="5" operator="containsText" text="We lent more than we borrowed">
      <formula>NOT(ISERROR(SEARCH("We lent more than we borrowed",F2)))</formula>
    </cfRule>
  </conditionalFormatting>
  <conditionalFormatting sqref="E38">
    <cfRule type="containsText" dxfId="29" priority="4" operator="containsText" text="We borrowerd more than we lent">
      <formula>NOT(ISERROR(SEARCH("We borrowerd more than we lent",E38)))</formula>
    </cfRule>
  </conditionalFormatting>
  <conditionalFormatting sqref="F38">
    <cfRule type="containsText" dxfId="28" priority="3" operator="containsText" text="We lent more than we borrowed">
      <formula>NOT(ISERROR(SEARCH("We lent more than we borrowed",F38)))</formula>
    </cfRule>
  </conditionalFormatting>
  <conditionalFormatting sqref="E39">
    <cfRule type="containsText" dxfId="27" priority="2" operator="containsText" text="We borrowerd more than we lent">
      <formula>NOT(ISERROR(SEARCH("We borrowerd more than we lent",E39)))</formula>
    </cfRule>
  </conditionalFormatting>
  <conditionalFormatting sqref="F39">
    <cfRule type="containsText" dxfId="26" priority="1" operator="containsText" text="We lent more than we borrowed">
      <formula>NOT(ISERROR(SEARCH("We lent more than we borrowed",F39)))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G54"/>
  <sheetViews>
    <sheetView zoomScale="85" zoomScaleNormal="85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ColWidth="9.140625" defaultRowHeight="15" x14ac:dyDescent="0.25"/>
  <cols>
    <col min="1" max="1" width="45.7109375" customWidth="1"/>
    <col min="2" max="3" width="30.7109375" customWidth="1"/>
    <col min="4" max="4" width="20.7109375" customWidth="1"/>
    <col min="5" max="6" width="25.7109375" style="34" customWidth="1"/>
    <col min="7" max="7" width="28.7109375" customWidth="1"/>
  </cols>
  <sheetData>
    <row r="1" spans="1:7" s="5" customFormat="1" ht="30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4" t="s">
        <v>6</v>
      </c>
    </row>
    <row r="2" spans="1:7" ht="30" customHeight="1" x14ac:dyDescent="0.25">
      <c r="A2" s="6" t="s">
        <v>7</v>
      </c>
      <c r="B2" s="7"/>
      <c r="C2" s="7"/>
      <c r="D2" s="7"/>
      <c r="E2" s="8"/>
      <c r="F2" s="8"/>
      <c r="G2" s="9"/>
    </row>
    <row r="3" spans="1:7" ht="30" customHeight="1" x14ac:dyDescent="0.25">
      <c r="A3" s="10" t="s">
        <v>10</v>
      </c>
      <c r="B3" s="11"/>
      <c r="C3" s="11"/>
      <c r="D3" s="11"/>
      <c r="E3" s="12"/>
      <c r="F3" s="12"/>
      <c r="G3" s="13"/>
    </row>
    <row r="4" spans="1:7" ht="30" customHeight="1" x14ac:dyDescent="0.25">
      <c r="A4" s="6" t="s">
        <v>12</v>
      </c>
      <c r="B4" s="7"/>
      <c r="C4" s="7"/>
      <c r="D4" s="7"/>
      <c r="E4" s="8"/>
      <c r="F4" s="8"/>
      <c r="G4" s="9"/>
    </row>
    <row r="5" spans="1:7" ht="30" customHeight="1" x14ac:dyDescent="0.25">
      <c r="A5" s="10" t="s">
        <v>14</v>
      </c>
      <c r="B5" s="11"/>
      <c r="C5" s="11"/>
      <c r="D5" s="11"/>
      <c r="E5" s="12"/>
      <c r="F5" s="12"/>
      <c r="G5" s="13"/>
    </row>
    <row r="6" spans="1:7" ht="30" customHeight="1" x14ac:dyDescent="0.25">
      <c r="A6" s="6" t="s">
        <v>17</v>
      </c>
      <c r="B6" s="7"/>
      <c r="C6" s="7"/>
      <c r="D6" s="7"/>
      <c r="E6" s="8"/>
      <c r="F6" s="8"/>
      <c r="G6" s="9"/>
    </row>
    <row r="7" spans="1:7" ht="30" customHeight="1" x14ac:dyDescent="0.25">
      <c r="A7" s="10" t="s">
        <v>19</v>
      </c>
      <c r="B7" s="11"/>
      <c r="C7" s="11"/>
      <c r="D7" s="11"/>
      <c r="E7" s="12"/>
      <c r="F7" s="12"/>
      <c r="G7" s="13"/>
    </row>
    <row r="8" spans="1:7" ht="30" customHeight="1" x14ac:dyDescent="0.25">
      <c r="A8" s="6" t="s">
        <v>21</v>
      </c>
      <c r="B8" s="7"/>
      <c r="C8" s="7"/>
      <c r="D8" s="7"/>
      <c r="E8" s="8"/>
      <c r="F8" s="8"/>
      <c r="G8" s="9"/>
    </row>
    <row r="9" spans="1:7" ht="30" customHeight="1" x14ac:dyDescent="0.25">
      <c r="A9" s="10" t="s">
        <v>23</v>
      </c>
      <c r="B9" s="11"/>
      <c r="C9" s="11"/>
      <c r="D9" s="11"/>
      <c r="E9" s="12"/>
      <c r="F9" s="12"/>
      <c r="G9" s="13"/>
    </row>
    <row r="10" spans="1:7" ht="30" customHeight="1" x14ac:dyDescent="0.25">
      <c r="A10" s="6" t="s">
        <v>24</v>
      </c>
      <c r="B10" s="7"/>
      <c r="C10" s="7"/>
      <c r="D10" s="7"/>
      <c r="E10" s="8"/>
      <c r="F10" s="8"/>
      <c r="G10" s="9"/>
    </row>
    <row r="11" spans="1:7" ht="30" customHeight="1" x14ac:dyDescent="0.25">
      <c r="A11" s="10" t="s">
        <v>26</v>
      </c>
      <c r="B11" s="11"/>
      <c r="C11" s="11"/>
      <c r="D11" s="11"/>
      <c r="E11" s="12"/>
      <c r="F11" s="12"/>
      <c r="G11" s="13"/>
    </row>
    <row r="12" spans="1:7" ht="30" customHeight="1" x14ac:dyDescent="0.25">
      <c r="A12" s="14" t="s">
        <v>27</v>
      </c>
      <c r="B12" s="15"/>
      <c r="C12" s="15"/>
      <c r="D12" s="15"/>
      <c r="E12" s="16"/>
      <c r="F12" s="16"/>
      <c r="G12" s="17"/>
    </row>
    <row r="13" spans="1:7" ht="30" customHeight="1" x14ac:dyDescent="0.25">
      <c r="A13" s="18" t="s">
        <v>29</v>
      </c>
      <c r="B13" s="19"/>
      <c r="C13" s="19"/>
      <c r="D13" s="19"/>
      <c r="E13" s="20"/>
      <c r="F13" s="20"/>
      <c r="G13" s="21"/>
    </row>
    <row r="14" spans="1:7" ht="30" customHeight="1" x14ac:dyDescent="0.25">
      <c r="A14" s="14" t="s">
        <v>31</v>
      </c>
      <c r="B14" s="15"/>
      <c r="C14" s="15"/>
      <c r="D14" s="15"/>
      <c r="E14" s="16"/>
      <c r="F14" s="16"/>
      <c r="G14" s="17"/>
    </row>
    <row r="15" spans="1:7" ht="30" customHeight="1" x14ac:dyDescent="0.25">
      <c r="A15" s="18" t="s">
        <v>33</v>
      </c>
      <c r="B15" s="19"/>
      <c r="C15" s="19"/>
      <c r="D15" s="19"/>
      <c r="E15" s="20"/>
      <c r="F15" s="20"/>
      <c r="G15" s="21"/>
    </row>
    <row r="16" spans="1:7" ht="30" customHeight="1" x14ac:dyDescent="0.25">
      <c r="A16" s="6" t="s">
        <v>35</v>
      </c>
      <c r="B16" s="7"/>
      <c r="C16" s="7"/>
      <c r="D16" s="7"/>
      <c r="E16" s="8"/>
      <c r="F16" s="8"/>
      <c r="G16" s="9"/>
    </row>
    <row r="17" spans="1:7" ht="30" customHeight="1" x14ac:dyDescent="0.25">
      <c r="A17" s="10" t="s">
        <v>37</v>
      </c>
      <c r="B17" s="11"/>
      <c r="C17" s="11"/>
      <c r="D17" s="11"/>
      <c r="E17" s="12"/>
      <c r="F17" s="12"/>
      <c r="G17" s="13"/>
    </row>
    <row r="18" spans="1:7" ht="30" customHeight="1" x14ac:dyDescent="0.25">
      <c r="A18" s="6" t="s">
        <v>38</v>
      </c>
      <c r="B18" s="7"/>
      <c r="C18" s="7"/>
      <c r="D18" s="7"/>
      <c r="E18" s="8"/>
      <c r="F18" s="8"/>
      <c r="G18" s="9"/>
    </row>
    <row r="19" spans="1:7" ht="30" customHeight="1" x14ac:dyDescent="0.25">
      <c r="A19" s="10" t="s">
        <v>40</v>
      </c>
      <c r="B19" s="11"/>
      <c r="C19" s="11"/>
      <c r="D19" s="11"/>
      <c r="E19" s="12"/>
      <c r="F19" s="12"/>
      <c r="G19" s="13"/>
    </row>
    <row r="20" spans="1:7" ht="30" customHeight="1" x14ac:dyDescent="0.25">
      <c r="A20" s="6" t="s">
        <v>42</v>
      </c>
      <c r="B20" s="7"/>
      <c r="C20" s="7"/>
      <c r="D20" s="7"/>
      <c r="E20" s="8"/>
      <c r="F20" s="8"/>
      <c r="G20" s="9"/>
    </row>
    <row r="21" spans="1:7" ht="30" customHeight="1" x14ac:dyDescent="0.25">
      <c r="A21" s="10" t="s">
        <v>44</v>
      </c>
      <c r="B21" s="11"/>
      <c r="C21" s="11"/>
      <c r="D21" s="11"/>
      <c r="E21" s="12"/>
      <c r="F21" s="12"/>
      <c r="G21" s="13"/>
    </row>
    <row r="22" spans="1:7" ht="30" customHeight="1" x14ac:dyDescent="0.25">
      <c r="A22" s="6" t="s">
        <v>46</v>
      </c>
      <c r="B22" s="7"/>
      <c r="C22" s="7"/>
      <c r="D22" s="7"/>
      <c r="E22" s="8"/>
      <c r="F22" s="8"/>
      <c r="G22" s="9"/>
    </row>
    <row r="23" spans="1:7" ht="30" customHeight="1" x14ac:dyDescent="0.25">
      <c r="A23" s="10" t="s">
        <v>48</v>
      </c>
      <c r="B23" s="11"/>
      <c r="C23" s="11"/>
      <c r="D23" s="11"/>
      <c r="E23" s="12"/>
      <c r="F23" s="12"/>
      <c r="G23" s="13"/>
    </row>
    <row r="24" spans="1:7" ht="30" customHeight="1" x14ac:dyDescent="0.25">
      <c r="A24" s="6" t="s">
        <v>50</v>
      </c>
      <c r="B24" s="7"/>
      <c r="C24" s="7"/>
      <c r="D24" s="7"/>
      <c r="E24" s="8"/>
      <c r="F24" s="8"/>
      <c r="G24" s="9"/>
    </row>
    <row r="25" spans="1:7" ht="30" customHeight="1" x14ac:dyDescent="0.25">
      <c r="A25" s="10" t="s">
        <v>52</v>
      </c>
      <c r="B25" s="11"/>
      <c r="C25" s="11"/>
      <c r="D25" s="11"/>
      <c r="E25" s="12"/>
      <c r="F25" s="12"/>
      <c r="G25" s="13"/>
    </row>
    <row r="26" spans="1:7" ht="30" customHeight="1" x14ac:dyDescent="0.25">
      <c r="A26" s="6" t="s">
        <v>54</v>
      </c>
      <c r="B26" s="7"/>
      <c r="C26" s="7"/>
      <c r="D26" s="7"/>
      <c r="E26" s="8"/>
      <c r="F26" s="8"/>
      <c r="G26" s="9"/>
    </row>
    <row r="27" spans="1:7" ht="30" customHeight="1" x14ac:dyDescent="0.25">
      <c r="A27" s="10" t="s">
        <v>55</v>
      </c>
      <c r="B27" s="11"/>
      <c r="C27" s="11"/>
      <c r="D27" s="11"/>
      <c r="E27" s="12"/>
      <c r="F27" s="12"/>
      <c r="G27" s="13"/>
    </row>
    <row r="28" spans="1:7" ht="30" customHeight="1" x14ac:dyDescent="0.25">
      <c r="A28" s="6" t="s">
        <v>57</v>
      </c>
      <c r="B28" s="7"/>
      <c r="C28" s="7"/>
      <c r="D28" s="7"/>
      <c r="E28" s="8"/>
      <c r="F28" s="8"/>
      <c r="G28" s="9"/>
    </row>
    <row r="29" spans="1:7" ht="30" customHeight="1" x14ac:dyDescent="0.25">
      <c r="A29" s="10" t="s">
        <v>59</v>
      </c>
      <c r="B29" s="11"/>
      <c r="C29" s="11"/>
      <c r="D29" s="11"/>
      <c r="E29" s="12"/>
      <c r="F29" s="12"/>
      <c r="G29" s="13"/>
    </row>
    <row r="30" spans="1:7" ht="30" customHeight="1" x14ac:dyDescent="0.25">
      <c r="A30" s="6" t="s">
        <v>61</v>
      </c>
      <c r="B30" s="7"/>
      <c r="C30" s="7"/>
      <c r="D30" s="7"/>
      <c r="E30" s="8"/>
      <c r="F30" s="8"/>
      <c r="G30" s="9"/>
    </row>
    <row r="31" spans="1:7" ht="30" customHeight="1" x14ac:dyDescent="0.25">
      <c r="A31" s="10" t="s">
        <v>63</v>
      </c>
      <c r="B31" s="11"/>
      <c r="C31" s="11"/>
      <c r="D31" s="11"/>
      <c r="E31" s="12"/>
      <c r="F31" s="12"/>
      <c r="G31" s="13"/>
    </row>
    <row r="32" spans="1:7" ht="30" customHeight="1" x14ac:dyDescent="0.25">
      <c r="A32" s="6" t="s">
        <v>65</v>
      </c>
      <c r="B32" s="7"/>
      <c r="C32" s="7"/>
      <c r="D32" s="7"/>
      <c r="E32" s="8"/>
      <c r="F32" s="8"/>
      <c r="G32" s="9"/>
    </row>
    <row r="33" spans="1:7" ht="30" customHeight="1" x14ac:dyDescent="0.25">
      <c r="A33" s="10" t="s">
        <v>67</v>
      </c>
      <c r="B33" s="11"/>
      <c r="C33" s="11"/>
      <c r="D33" s="11"/>
      <c r="E33" s="12"/>
      <c r="F33" s="12"/>
      <c r="G33" s="13"/>
    </row>
    <row r="34" spans="1:7" ht="30" customHeight="1" x14ac:dyDescent="0.25">
      <c r="A34" s="6" t="s">
        <v>69</v>
      </c>
      <c r="B34" s="7"/>
      <c r="C34" s="7"/>
      <c r="D34" s="7"/>
      <c r="E34" s="8"/>
      <c r="F34" s="8"/>
      <c r="G34" s="9"/>
    </row>
    <row r="35" spans="1:7" ht="30" customHeight="1" x14ac:dyDescent="0.25">
      <c r="A35" s="10" t="s">
        <v>71</v>
      </c>
      <c r="B35" s="11"/>
      <c r="C35" s="11"/>
      <c r="D35" s="11"/>
      <c r="E35" s="12"/>
      <c r="F35" s="12"/>
      <c r="G35" s="13"/>
    </row>
    <row r="36" spans="1:7" ht="30" customHeight="1" x14ac:dyDescent="0.25">
      <c r="A36" s="6" t="s">
        <v>73</v>
      </c>
      <c r="B36" s="7"/>
      <c r="C36" s="7"/>
      <c r="D36" s="7"/>
      <c r="E36" s="8"/>
      <c r="F36" s="8"/>
      <c r="G36" s="9"/>
    </row>
    <row r="37" spans="1:7" ht="30" customHeight="1" x14ac:dyDescent="0.25">
      <c r="A37" s="10" t="s">
        <v>75</v>
      </c>
      <c r="B37" s="11"/>
      <c r="C37" s="11"/>
      <c r="D37" s="11"/>
      <c r="E37" s="12"/>
      <c r="F37" s="12"/>
      <c r="G37" s="13"/>
    </row>
    <row r="38" spans="1:7" ht="30" customHeight="1" x14ac:dyDescent="0.25">
      <c r="A38" s="6" t="s">
        <v>77</v>
      </c>
      <c r="B38" s="7"/>
      <c r="C38" s="7"/>
      <c r="D38" s="7"/>
      <c r="E38" s="8"/>
      <c r="F38" s="8"/>
      <c r="G38" s="9"/>
    </row>
    <row r="39" spans="1:7" ht="30" customHeight="1" x14ac:dyDescent="0.25">
      <c r="A39" s="10" t="s">
        <v>79</v>
      </c>
      <c r="B39" s="11"/>
      <c r="C39" s="11"/>
      <c r="D39" s="11"/>
      <c r="E39" s="12"/>
      <c r="F39" s="12"/>
      <c r="G39" s="13"/>
    </row>
    <row r="40" spans="1:7" ht="30" customHeight="1" x14ac:dyDescent="0.25">
      <c r="A40" s="22" t="s">
        <v>81</v>
      </c>
      <c r="B40" s="23"/>
      <c r="C40" s="23"/>
      <c r="D40" s="23"/>
      <c r="E40" s="24"/>
      <c r="F40" s="24"/>
      <c r="G40" s="25"/>
    </row>
    <row r="41" spans="1:7" ht="30" customHeight="1" x14ac:dyDescent="0.25">
      <c r="A41" s="26" t="s">
        <v>83</v>
      </c>
      <c r="B41" s="27"/>
      <c r="C41" s="27"/>
      <c r="D41" s="27"/>
      <c r="E41" s="28"/>
      <c r="F41" s="28"/>
      <c r="G41" s="29"/>
    </row>
    <row r="42" spans="1:7" ht="30" customHeight="1" x14ac:dyDescent="0.25">
      <c r="A42" s="22" t="s">
        <v>85</v>
      </c>
      <c r="B42" s="23"/>
      <c r="C42" s="23"/>
      <c r="D42" s="23"/>
      <c r="E42" s="24"/>
      <c r="F42" s="24"/>
      <c r="G42" s="25"/>
    </row>
    <row r="43" spans="1:7" ht="30" customHeight="1" x14ac:dyDescent="0.25">
      <c r="A43" s="26" t="s">
        <v>87</v>
      </c>
      <c r="B43" s="27"/>
      <c r="C43" s="27"/>
      <c r="D43" s="27"/>
      <c r="E43" s="28"/>
      <c r="F43" s="28"/>
      <c r="G43" s="29"/>
    </row>
    <row r="44" spans="1:7" ht="30" customHeight="1" x14ac:dyDescent="0.25">
      <c r="A44" s="6" t="s">
        <v>89</v>
      </c>
      <c r="B44" s="7"/>
      <c r="C44" s="7"/>
      <c r="D44" s="7"/>
      <c r="E44" s="8"/>
      <c r="F44" s="8"/>
      <c r="G44" s="9"/>
    </row>
    <row r="45" spans="1:7" ht="30" customHeight="1" x14ac:dyDescent="0.25">
      <c r="A45" s="10" t="s">
        <v>91</v>
      </c>
      <c r="B45" s="11"/>
      <c r="C45" s="11"/>
      <c r="D45" s="11"/>
      <c r="E45" s="12"/>
      <c r="F45" s="12"/>
      <c r="G45" s="13"/>
    </row>
    <row r="46" spans="1:7" ht="30" customHeight="1" x14ac:dyDescent="0.25">
      <c r="A46" s="6" t="s">
        <v>92</v>
      </c>
      <c r="B46" s="7"/>
      <c r="C46" s="7"/>
      <c r="D46" s="7"/>
      <c r="E46" s="8"/>
      <c r="F46" s="8"/>
      <c r="G46" s="9"/>
    </row>
    <row r="47" spans="1:7" ht="30" customHeight="1" x14ac:dyDescent="0.25">
      <c r="A47" s="10" t="s">
        <v>94</v>
      </c>
      <c r="B47" s="11"/>
      <c r="C47" s="11"/>
      <c r="D47" s="11"/>
      <c r="E47" s="12"/>
      <c r="F47" s="12"/>
      <c r="G47" s="13"/>
    </row>
    <row r="48" spans="1:7" ht="30" customHeight="1" x14ac:dyDescent="0.25">
      <c r="A48" s="6" t="s">
        <v>95</v>
      </c>
      <c r="B48" s="7"/>
      <c r="C48" s="7"/>
      <c r="D48" s="7"/>
      <c r="E48" s="8"/>
      <c r="F48" s="8"/>
      <c r="G48" s="9"/>
    </row>
    <row r="49" spans="1:7" ht="30" customHeight="1" x14ac:dyDescent="0.25">
      <c r="A49" s="10" t="s">
        <v>97</v>
      </c>
      <c r="B49" s="11"/>
      <c r="C49" s="11"/>
      <c r="D49" s="11"/>
      <c r="E49" s="12"/>
      <c r="F49" s="12"/>
      <c r="G49" s="13"/>
    </row>
    <row r="50" spans="1:7" ht="30" customHeight="1" x14ac:dyDescent="0.25">
      <c r="A50" s="6" t="s">
        <v>99</v>
      </c>
      <c r="B50" s="7"/>
      <c r="C50" s="7"/>
      <c r="D50" s="7"/>
      <c r="E50" s="8"/>
      <c r="F50" s="8"/>
      <c r="G50" s="9"/>
    </row>
    <row r="51" spans="1:7" ht="30" customHeight="1" x14ac:dyDescent="0.25">
      <c r="A51" s="10" t="s">
        <v>101</v>
      </c>
      <c r="B51" s="11"/>
      <c r="C51" s="11"/>
      <c r="D51" s="11"/>
      <c r="E51" s="12"/>
      <c r="F51" s="12"/>
      <c r="G51" s="13"/>
    </row>
    <row r="52" spans="1:7" ht="30" customHeight="1" x14ac:dyDescent="0.25">
      <c r="A52" s="6" t="s">
        <v>103</v>
      </c>
      <c r="B52" s="7"/>
      <c r="C52" s="7"/>
      <c r="D52" s="7"/>
      <c r="E52" s="8"/>
      <c r="F52" s="8"/>
      <c r="G52" s="9"/>
    </row>
    <row r="53" spans="1:7" ht="30" customHeight="1" x14ac:dyDescent="0.25">
      <c r="A53" s="10" t="s">
        <v>105</v>
      </c>
      <c r="B53" s="11"/>
      <c r="C53" s="11"/>
      <c r="D53" s="11"/>
      <c r="E53" s="12"/>
      <c r="F53" s="12"/>
      <c r="G53" s="13"/>
    </row>
    <row r="54" spans="1:7" ht="30" customHeight="1" x14ac:dyDescent="0.25">
      <c r="A54" s="30" t="s">
        <v>107</v>
      </c>
      <c r="B54" s="31"/>
      <c r="C54" s="31"/>
      <c r="D54" s="31"/>
      <c r="E54" s="32"/>
      <c r="F54" s="32"/>
      <c r="G54" s="33"/>
    </row>
  </sheetData>
  <autoFilter ref="A1:G54" xr:uid="{00000000-0009-0000-0000-000009000000}"/>
  <conditionalFormatting sqref="E2">
    <cfRule type="expression" dxfId="25" priority="7">
      <formula>"D2&gt;0"</formula>
    </cfRule>
  </conditionalFormatting>
  <conditionalFormatting sqref="E2:E37 E40:E54">
    <cfRule type="containsText" dxfId="24" priority="6" operator="containsText" text="We borrowerd more than we lent">
      <formula>NOT(ISERROR(SEARCH("We borrowerd more than we lent",E2)))</formula>
    </cfRule>
  </conditionalFormatting>
  <conditionalFormatting sqref="F2:F37 F40:F54">
    <cfRule type="containsText" dxfId="23" priority="5" operator="containsText" text="We lent more than we borrowed">
      <formula>NOT(ISERROR(SEARCH("We lent more than we borrowed",F2)))</formula>
    </cfRule>
  </conditionalFormatting>
  <conditionalFormatting sqref="E38">
    <cfRule type="containsText" dxfId="22" priority="4" operator="containsText" text="We borrowerd more than we lent">
      <formula>NOT(ISERROR(SEARCH("We borrowerd more than we lent",E38)))</formula>
    </cfRule>
  </conditionalFormatting>
  <conditionalFormatting sqref="F38">
    <cfRule type="containsText" dxfId="21" priority="3" operator="containsText" text="We lent more than we borrowed">
      <formula>NOT(ISERROR(SEARCH("We lent more than we borrowed",F38)))</formula>
    </cfRule>
  </conditionalFormatting>
  <conditionalFormatting sqref="E39">
    <cfRule type="containsText" dxfId="20" priority="2" operator="containsText" text="We borrowerd more than we lent">
      <formula>NOT(ISERROR(SEARCH("We borrowerd more than we lent",E39)))</formula>
    </cfRule>
  </conditionalFormatting>
  <conditionalFormatting sqref="F39">
    <cfRule type="containsText" dxfId="19" priority="1" operator="containsText" text="We lent more than we borrowed">
      <formula>NOT(ISERROR(SEARCH("We lent more than we borrowed",F39)))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G54"/>
  <sheetViews>
    <sheetView zoomScale="85" zoomScaleNormal="85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ColWidth="9.140625" defaultRowHeight="15" x14ac:dyDescent="0.25"/>
  <cols>
    <col min="1" max="1" width="45.7109375" customWidth="1"/>
    <col min="2" max="3" width="30.7109375" customWidth="1"/>
    <col min="4" max="4" width="20.7109375" customWidth="1"/>
    <col min="5" max="6" width="25.7109375" style="34" customWidth="1"/>
    <col min="7" max="7" width="28.7109375" customWidth="1"/>
  </cols>
  <sheetData>
    <row r="1" spans="1:7" s="5" customFormat="1" ht="30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4" t="s">
        <v>6</v>
      </c>
    </row>
    <row r="2" spans="1:7" ht="30" customHeight="1" x14ac:dyDescent="0.25">
      <c r="A2" s="6" t="s">
        <v>7</v>
      </c>
      <c r="B2" s="7"/>
      <c r="C2" s="7"/>
      <c r="D2" s="7"/>
      <c r="E2" s="8"/>
      <c r="F2" s="8"/>
      <c r="G2" s="9"/>
    </row>
    <row r="3" spans="1:7" ht="30" customHeight="1" x14ac:dyDescent="0.25">
      <c r="A3" s="10" t="s">
        <v>10</v>
      </c>
      <c r="B3" s="11"/>
      <c r="C3" s="11"/>
      <c r="D3" s="11"/>
      <c r="E3" s="12"/>
      <c r="F3" s="12"/>
      <c r="G3" s="13"/>
    </row>
    <row r="4" spans="1:7" ht="30" customHeight="1" x14ac:dyDescent="0.25">
      <c r="A4" s="6" t="s">
        <v>12</v>
      </c>
      <c r="B4" s="7"/>
      <c r="C4" s="7"/>
      <c r="D4" s="7"/>
      <c r="E4" s="8"/>
      <c r="F4" s="8"/>
      <c r="G4" s="9"/>
    </row>
    <row r="5" spans="1:7" ht="30" customHeight="1" x14ac:dyDescent="0.25">
      <c r="A5" s="10" t="s">
        <v>14</v>
      </c>
      <c r="B5" s="11"/>
      <c r="C5" s="11"/>
      <c r="D5" s="11"/>
      <c r="E5" s="12"/>
      <c r="F5" s="12"/>
      <c r="G5" s="13"/>
    </row>
    <row r="6" spans="1:7" ht="30" customHeight="1" x14ac:dyDescent="0.25">
      <c r="A6" s="6" t="s">
        <v>17</v>
      </c>
      <c r="B6" s="7"/>
      <c r="C6" s="7"/>
      <c r="D6" s="7"/>
      <c r="E6" s="8"/>
      <c r="F6" s="8"/>
      <c r="G6" s="9"/>
    </row>
    <row r="7" spans="1:7" ht="30" customHeight="1" x14ac:dyDescent="0.25">
      <c r="A7" s="10" t="s">
        <v>19</v>
      </c>
      <c r="B7" s="11"/>
      <c r="C7" s="11"/>
      <c r="D7" s="11"/>
      <c r="E7" s="12"/>
      <c r="F7" s="12"/>
      <c r="G7" s="13"/>
    </row>
    <row r="8" spans="1:7" ht="30" customHeight="1" x14ac:dyDescent="0.25">
      <c r="A8" s="6" t="s">
        <v>21</v>
      </c>
      <c r="B8" s="7"/>
      <c r="C8" s="7"/>
      <c r="D8" s="7"/>
      <c r="E8" s="8"/>
      <c r="F8" s="8"/>
      <c r="G8" s="9"/>
    </row>
    <row r="9" spans="1:7" ht="30" customHeight="1" x14ac:dyDescent="0.25">
      <c r="A9" s="10" t="s">
        <v>23</v>
      </c>
      <c r="B9" s="11"/>
      <c r="C9" s="11"/>
      <c r="D9" s="11"/>
      <c r="E9" s="12"/>
      <c r="F9" s="12"/>
      <c r="G9" s="13"/>
    </row>
    <row r="10" spans="1:7" ht="30" customHeight="1" x14ac:dyDescent="0.25">
      <c r="A10" s="6" t="s">
        <v>24</v>
      </c>
      <c r="B10" s="7"/>
      <c r="C10" s="7"/>
      <c r="D10" s="7"/>
      <c r="E10" s="8"/>
      <c r="F10" s="8"/>
      <c r="G10" s="9"/>
    </row>
    <row r="11" spans="1:7" ht="30" customHeight="1" x14ac:dyDescent="0.25">
      <c r="A11" s="10" t="s">
        <v>26</v>
      </c>
      <c r="B11" s="11"/>
      <c r="C11" s="11"/>
      <c r="D11" s="11"/>
      <c r="E11" s="12"/>
      <c r="F11" s="12"/>
      <c r="G11" s="13"/>
    </row>
    <row r="12" spans="1:7" ht="30" customHeight="1" x14ac:dyDescent="0.25">
      <c r="A12" s="14" t="s">
        <v>27</v>
      </c>
      <c r="B12" s="15"/>
      <c r="C12" s="15"/>
      <c r="D12" s="15"/>
      <c r="E12" s="16"/>
      <c r="F12" s="16"/>
      <c r="G12" s="17"/>
    </row>
    <row r="13" spans="1:7" ht="30" customHeight="1" x14ac:dyDescent="0.25">
      <c r="A13" s="18" t="s">
        <v>29</v>
      </c>
      <c r="B13" s="19"/>
      <c r="C13" s="19"/>
      <c r="D13" s="19"/>
      <c r="E13" s="20"/>
      <c r="F13" s="20"/>
      <c r="G13" s="21"/>
    </row>
    <row r="14" spans="1:7" ht="30" customHeight="1" x14ac:dyDescent="0.25">
      <c r="A14" s="14" t="s">
        <v>31</v>
      </c>
      <c r="B14" s="15"/>
      <c r="C14" s="15"/>
      <c r="D14" s="15"/>
      <c r="E14" s="16"/>
      <c r="F14" s="16"/>
      <c r="G14" s="17"/>
    </row>
    <row r="15" spans="1:7" ht="30" customHeight="1" x14ac:dyDescent="0.25">
      <c r="A15" s="18" t="s">
        <v>33</v>
      </c>
      <c r="B15" s="19"/>
      <c r="C15" s="19"/>
      <c r="D15" s="19"/>
      <c r="E15" s="20"/>
      <c r="F15" s="20"/>
      <c r="G15" s="21"/>
    </row>
    <row r="16" spans="1:7" ht="30" customHeight="1" x14ac:dyDescent="0.25">
      <c r="A16" s="6" t="s">
        <v>35</v>
      </c>
      <c r="B16" s="7"/>
      <c r="C16" s="7"/>
      <c r="D16" s="7"/>
      <c r="E16" s="8"/>
      <c r="F16" s="8"/>
      <c r="G16" s="9"/>
    </row>
    <row r="17" spans="1:7" ht="30" customHeight="1" x14ac:dyDescent="0.25">
      <c r="A17" s="10" t="s">
        <v>37</v>
      </c>
      <c r="B17" s="11"/>
      <c r="C17" s="11"/>
      <c r="D17" s="11"/>
      <c r="E17" s="12"/>
      <c r="F17" s="12"/>
      <c r="G17" s="13"/>
    </row>
    <row r="18" spans="1:7" ht="30" customHeight="1" x14ac:dyDescent="0.25">
      <c r="A18" s="6" t="s">
        <v>38</v>
      </c>
      <c r="B18" s="7"/>
      <c r="C18" s="7"/>
      <c r="D18" s="7"/>
      <c r="E18" s="8"/>
      <c r="F18" s="8"/>
      <c r="G18" s="9"/>
    </row>
    <row r="19" spans="1:7" ht="30" customHeight="1" x14ac:dyDescent="0.25">
      <c r="A19" s="10" t="s">
        <v>40</v>
      </c>
      <c r="B19" s="11"/>
      <c r="C19" s="11"/>
      <c r="D19" s="11"/>
      <c r="E19" s="12"/>
      <c r="F19" s="12"/>
      <c r="G19" s="13"/>
    </row>
    <row r="20" spans="1:7" ht="30" customHeight="1" x14ac:dyDescent="0.25">
      <c r="A20" s="6" t="s">
        <v>42</v>
      </c>
      <c r="B20" s="7"/>
      <c r="C20" s="7"/>
      <c r="D20" s="7"/>
      <c r="E20" s="8"/>
      <c r="F20" s="8"/>
      <c r="G20" s="9"/>
    </row>
    <row r="21" spans="1:7" ht="30" customHeight="1" x14ac:dyDescent="0.25">
      <c r="A21" s="10" t="s">
        <v>44</v>
      </c>
      <c r="B21" s="11"/>
      <c r="C21" s="11"/>
      <c r="D21" s="11"/>
      <c r="E21" s="12"/>
      <c r="F21" s="12"/>
      <c r="G21" s="13"/>
    </row>
    <row r="22" spans="1:7" ht="30" customHeight="1" x14ac:dyDescent="0.25">
      <c r="A22" s="6" t="s">
        <v>46</v>
      </c>
      <c r="B22" s="7"/>
      <c r="C22" s="7"/>
      <c r="D22" s="7"/>
      <c r="E22" s="8"/>
      <c r="F22" s="8"/>
      <c r="G22" s="9"/>
    </row>
    <row r="23" spans="1:7" ht="30" customHeight="1" x14ac:dyDescent="0.25">
      <c r="A23" s="10" t="s">
        <v>48</v>
      </c>
      <c r="B23" s="11"/>
      <c r="C23" s="11"/>
      <c r="D23" s="11"/>
      <c r="E23" s="12"/>
      <c r="F23" s="12"/>
      <c r="G23" s="13"/>
    </row>
    <row r="24" spans="1:7" ht="30" customHeight="1" x14ac:dyDescent="0.25">
      <c r="A24" s="6" t="s">
        <v>50</v>
      </c>
      <c r="B24" s="7"/>
      <c r="C24" s="7"/>
      <c r="D24" s="7"/>
      <c r="E24" s="8"/>
      <c r="F24" s="8"/>
      <c r="G24" s="9"/>
    </row>
    <row r="25" spans="1:7" ht="30" customHeight="1" x14ac:dyDescent="0.25">
      <c r="A25" s="10" t="s">
        <v>52</v>
      </c>
      <c r="B25" s="11"/>
      <c r="C25" s="11"/>
      <c r="D25" s="11"/>
      <c r="E25" s="12"/>
      <c r="F25" s="12"/>
      <c r="G25" s="13"/>
    </row>
    <row r="26" spans="1:7" ht="30" customHeight="1" x14ac:dyDescent="0.25">
      <c r="A26" s="6" t="s">
        <v>54</v>
      </c>
      <c r="B26" s="7"/>
      <c r="C26" s="7"/>
      <c r="D26" s="7"/>
      <c r="E26" s="8"/>
      <c r="F26" s="8"/>
      <c r="G26" s="9"/>
    </row>
    <row r="27" spans="1:7" ht="30" customHeight="1" x14ac:dyDescent="0.25">
      <c r="A27" s="10" t="s">
        <v>55</v>
      </c>
      <c r="B27" s="11"/>
      <c r="C27" s="11"/>
      <c r="D27" s="11"/>
      <c r="E27" s="12"/>
      <c r="F27" s="12"/>
      <c r="G27" s="13"/>
    </row>
    <row r="28" spans="1:7" ht="30" customHeight="1" x14ac:dyDescent="0.25">
      <c r="A28" s="6" t="s">
        <v>57</v>
      </c>
      <c r="B28" s="7"/>
      <c r="C28" s="7"/>
      <c r="D28" s="7"/>
      <c r="E28" s="8"/>
      <c r="F28" s="8"/>
      <c r="G28" s="9"/>
    </row>
    <row r="29" spans="1:7" ht="30" customHeight="1" x14ac:dyDescent="0.25">
      <c r="A29" s="10" t="s">
        <v>59</v>
      </c>
      <c r="B29" s="11"/>
      <c r="C29" s="11"/>
      <c r="D29" s="11"/>
      <c r="E29" s="12"/>
      <c r="F29" s="12"/>
      <c r="G29" s="13"/>
    </row>
    <row r="30" spans="1:7" ht="30" customHeight="1" x14ac:dyDescent="0.25">
      <c r="A30" s="6" t="s">
        <v>61</v>
      </c>
      <c r="B30" s="7"/>
      <c r="C30" s="7"/>
      <c r="D30" s="7"/>
      <c r="E30" s="8"/>
      <c r="F30" s="8"/>
      <c r="G30" s="9"/>
    </row>
    <row r="31" spans="1:7" ht="30" customHeight="1" x14ac:dyDescent="0.25">
      <c r="A31" s="10" t="s">
        <v>63</v>
      </c>
      <c r="B31" s="11"/>
      <c r="C31" s="11"/>
      <c r="D31" s="11"/>
      <c r="E31" s="12"/>
      <c r="F31" s="12"/>
      <c r="G31" s="13"/>
    </row>
    <row r="32" spans="1:7" ht="30" customHeight="1" x14ac:dyDescent="0.25">
      <c r="A32" s="6" t="s">
        <v>65</v>
      </c>
      <c r="B32" s="7"/>
      <c r="C32" s="7"/>
      <c r="D32" s="7"/>
      <c r="E32" s="8"/>
      <c r="F32" s="8"/>
      <c r="G32" s="9"/>
    </row>
    <row r="33" spans="1:7" ht="30" customHeight="1" x14ac:dyDescent="0.25">
      <c r="A33" s="10" t="s">
        <v>67</v>
      </c>
      <c r="B33" s="11"/>
      <c r="C33" s="11"/>
      <c r="D33" s="11"/>
      <c r="E33" s="12"/>
      <c r="F33" s="12"/>
      <c r="G33" s="13"/>
    </row>
    <row r="34" spans="1:7" ht="30" customHeight="1" x14ac:dyDescent="0.25">
      <c r="A34" s="6" t="s">
        <v>69</v>
      </c>
      <c r="B34" s="7"/>
      <c r="C34" s="7"/>
      <c r="D34" s="7"/>
      <c r="E34" s="8"/>
      <c r="F34" s="8"/>
      <c r="G34" s="9"/>
    </row>
    <row r="35" spans="1:7" ht="30" customHeight="1" x14ac:dyDescent="0.25">
      <c r="A35" s="10" t="s">
        <v>71</v>
      </c>
      <c r="B35" s="11"/>
      <c r="C35" s="11"/>
      <c r="D35" s="11"/>
      <c r="E35" s="12"/>
      <c r="F35" s="12"/>
      <c r="G35" s="13"/>
    </row>
    <row r="36" spans="1:7" ht="30" customHeight="1" x14ac:dyDescent="0.25">
      <c r="A36" s="6" t="s">
        <v>73</v>
      </c>
      <c r="B36" s="7"/>
      <c r="C36" s="7"/>
      <c r="D36" s="7"/>
      <c r="E36" s="8"/>
      <c r="F36" s="8"/>
      <c r="G36" s="9"/>
    </row>
    <row r="37" spans="1:7" ht="30" customHeight="1" x14ac:dyDescent="0.25">
      <c r="A37" s="10" t="s">
        <v>75</v>
      </c>
      <c r="B37" s="11"/>
      <c r="C37" s="11"/>
      <c r="D37" s="11"/>
      <c r="E37" s="12"/>
      <c r="F37" s="12"/>
      <c r="G37" s="13"/>
    </row>
    <row r="38" spans="1:7" ht="30" customHeight="1" x14ac:dyDescent="0.25">
      <c r="A38" s="6" t="s">
        <v>77</v>
      </c>
      <c r="B38" s="7"/>
      <c r="C38" s="7"/>
      <c r="D38" s="7"/>
      <c r="E38" s="8"/>
      <c r="F38" s="8"/>
      <c r="G38" s="9"/>
    </row>
    <row r="39" spans="1:7" ht="30" customHeight="1" x14ac:dyDescent="0.25">
      <c r="A39" s="10" t="s">
        <v>79</v>
      </c>
      <c r="B39" s="11"/>
      <c r="C39" s="11"/>
      <c r="D39" s="11"/>
      <c r="E39" s="12"/>
      <c r="F39" s="12"/>
      <c r="G39" s="13"/>
    </row>
    <row r="40" spans="1:7" ht="30" customHeight="1" x14ac:dyDescent="0.25">
      <c r="A40" s="22" t="s">
        <v>81</v>
      </c>
      <c r="B40" s="23"/>
      <c r="C40" s="23"/>
      <c r="D40" s="23"/>
      <c r="E40" s="24"/>
      <c r="F40" s="24"/>
      <c r="G40" s="25"/>
    </row>
    <row r="41" spans="1:7" ht="30" customHeight="1" x14ac:dyDescent="0.25">
      <c r="A41" s="26" t="s">
        <v>83</v>
      </c>
      <c r="B41" s="27"/>
      <c r="C41" s="27"/>
      <c r="D41" s="27"/>
      <c r="E41" s="28"/>
      <c r="F41" s="28"/>
      <c r="G41" s="29"/>
    </row>
    <row r="42" spans="1:7" ht="30" customHeight="1" x14ac:dyDescent="0.25">
      <c r="A42" s="22" t="s">
        <v>85</v>
      </c>
      <c r="B42" s="23"/>
      <c r="C42" s="23"/>
      <c r="D42" s="23"/>
      <c r="E42" s="24"/>
      <c r="F42" s="24"/>
      <c r="G42" s="25"/>
    </row>
    <row r="43" spans="1:7" ht="30" customHeight="1" x14ac:dyDescent="0.25">
      <c r="A43" s="26" t="s">
        <v>87</v>
      </c>
      <c r="B43" s="27"/>
      <c r="C43" s="27"/>
      <c r="D43" s="27"/>
      <c r="E43" s="28"/>
      <c r="F43" s="28"/>
      <c r="G43" s="29"/>
    </row>
    <row r="44" spans="1:7" ht="30" customHeight="1" x14ac:dyDescent="0.25">
      <c r="A44" s="6" t="s">
        <v>89</v>
      </c>
      <c r="B44" s="7"/>
      <c r="C44" s="7"/>
      <c r="D44" s="7"/>
      <c r="E44" s="8"/>
      <c r="F44" s="8"/>
      <c r="G44" s="9"/>
    </row>
    <row r="45" spans="1:7" ht="30" customHeight="1" x14ac:dyDescent="0.25">
      <c r="A45" s="10" t="s">
        <v>91</v>
      </c>
      <c r="B45" s="11"/>
      <c r="C45" s="11"/>
      <c r="D45" s="11"/>
      <c r="E45" s="12"/>
      <c r="F45" s="12"/>
      <c r="G45" s="13"/>
    </row>
    <row r="46" spans="1:7" ht="30" customHeight="1" x14ac:dyDescent="0.25">
      <c r="A46" s="6" t="s">
        <v>92</v>
      </c>
      <c r="B46" s="7"/>
      <c r="C46" s="7"/>
      <c r="D46" s="7"/>
      <c r="E46" s="8"/>
      <c r="F46" s="8"/>
      <c r="G46" s="9"/>
    </row>
    <row r="47" spans="1:7" ht="30" customHeight="1" x14ac:dyDescent="0.25">
      <c r="A47" s="10" t="s">
        <v>94</v>
      </c>
      <c r="B47" s="11"/>
      <c r="C47" s="11"/>
      <c r="D47" s="11"/>
      <c r="E47" s="12"/>
      <c r="F47" s="12"/>
      <c r="G47" s="13"/>
    </row>
    <row r="48" spans="1:7" ht="30" customHeight="1" x14ac:dyDescent="0.25">
      <c r="A48" s="6" t="s">
        <v>95</v>
      </c>
      <c r="B48" s="7"/>
      <c r="C48" s="7"/>
      <c r="D48" s="7"/>
      <c r="E48" s="8"/>
      <c r="F48" s="8"/>
      <c r="G48" s="9"/>
    </row>
    <row r="49" spans="1:7" ht="30" customHeight="1" x14ac:dyDescent="0.25">
      <c r="A49" s="10" t="s">
        <v>97</v>
      </c>
      <c r="B49" s="11"/>
      <c r="C49" s="11"/>
      <c r="D49" s="11"/>
      <c r="E49" s="12"/>
      <c r="F49" s="12"/>
      <c r="G49" s="13"/>
    </row>
    <row r="50" spans="1:7" ht="30" customHeight="1" x14ac:dyDescent="0.25">
      <c r="A50" s="6" t="s">
        <v>99</v>
      </c>
      <c r="B50" s="7"/>
      <c r="C50" s="7"/>
      <c r="D50" s="7"/>
      <c r="E50" s="8"/>
      <c r="F50" s="8"/>
      <c r="G50" s="9"/>
    </row>
    <row r="51" spans="1:7" ht="30" customHeight="1" x14ac:dyDescent="0.25">
      <c r="A51" s="10" t="s">
        <v>101</v>
      </c>
      <c r="B51" s="11"/>
      <c r="C51" s="11"/>
      <c r="D51" s="11"/>
      <c r="E51" s="12"/>
      <c r="F51" s="12"/>
      <c r="G51" s="13"/>
    </row>
    <row r="52" spans="1:7" ht="30" customHeight="1" x14ac:dyDescent="0.25">
      <c r="A52" s="6" t="s">
        <v>103</v>
      </c>
      <c r="B52" s="7"/>
      <c r="C52" s="7"/>
      <c r="D52" s="7"/>
      <c r="E52" s="8"/>
      <c r="F52" s="8"/>
      <c r="G52" s="9"/>
    </row>
    <row r="53" spans="1:7" ht="30" customHeight="1" x14ac:dyDescent="0.25">
      <c r="A53" s="10" t="s">
        <v>105</v>
      </c>
      <c r="B53" s="11"/>
      <c r="C53" s="11"/>
      <c r="D53" s="11"/>
      <c r="E53" s="12"/>
      <c r="F53" s="12"/>
      <c r="G53" s="13"/>
    </row>
    <row r="54" spans="1:7" ht="30" customHeight="1" x14ac:dyDescent="0.25">
      <c r="A54" s="30" t="s">
        <v>107</v>
      </c>
      <c r="B54" s="31"/>
      <c r="C54" s="31"/>
      <c r="D54" s="31"/>
      <c r="E54" s="32"/>
      <c r="F54" s="32"/>
      <c r="G54" s="33"/>
    </row>
  </sheetData>
  <autoFilter ref="A1:G54" xr:uid="{00000000-0009-0000-0000-00000A000000}"/>
  <conditionalFormatting sqref="E2">
    <cfRule type="expression" dxfId="18" priority="7">
      <formula>"D2&gt;0"</formula>
    </cfRule>
  </conditionalFormatting>
  <conditionalFormatting sqref="E2:E37 E40:E54">
    <cfRule type="containsText" dxfId="17" priority="6" operator="containsText" text="We borrowerd more than we lent">
      <formula>NOT(ISERROR(SEARCH("We borrowerd more than we lent",E2)))</formula>
    </cfRule>
  </conditionalFormatting>
  <conditionalFormatting sqref="F2:F37 F40:F54">
    <cfRule type="containsText" dxfId="16" priority="5" operator="containsText" text="We lent more than we borrowed">
      <formula>NOT(ISERROR(SEARCH("We lent more than we borrowed",F2)))</formula>
    </cfRule>
  </conditionalFormatting>
  <conditionalFormatting sqref="E38">
    <cfRule type="containsText" dxfId="15" priority="4" operator="containsText" text="We borrowerd more than we lent">
      <formula>NOT(ISERROR(SEARCH("We borrowerd more than we lent",E38)))</formula>
    </cfRule>
  </conditionalFormatting>
  <conditionalFormatting sqref="F38">
    <cfRule type="containsText" dxfId="14" priority="3" operator="containsText" text="We lent more than we borrowed">
      <formula>NOT(ISERROR(SEARCH("We lent more than we borrowed",F38)))</formula>
    </cfRule>
  </conditionalFormatting>
  <conditionalFormatting sqref="E39">
    <cfRule type="containsText" dxfId="13" priority="2" operator="containsText" text="We borrowerd more than we lent">
      <formula>NOT(ISERROR(SEARCH("We borrowerd more than we lent",E39)))</formula>
    </cfRule>
  </conditionalFormatting>
  <conditionalFormatting sqref="F39">
    <cfRule type="containsText" dxfId="12" priority="1" operator="containsText" text="We lent more than we borrowed">
      <formula>NOT(ISERROR(SEARCH("We lent more than we borrowed",F39)))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G54"/>
  <sheetViews>
    <sheetView zoomScale="85" zoomScaleNormal="85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ColWidth="9.140625" defaultRowHeight="15" x14ac:dyDescent="0.25"/>
  <cols>
    <col min="1" max="1" width="45.7109375" customWidth="1"/>
    <col min="2" max="3" width="30.7109375" customWidth="1"/>
    <col min="4" max="4" width="20.7109375" customWidth="1"/>
    <col min="5" max="6" width="25.7109375" style="34" customWidth="1"/>
    <col min="7" max="7" width="28.7109375" customWidth="1"/>
  </cols>
  <sheetData>
    <row r="1" spans="1:7" s="5" customFormat="1" ht="30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4" t="s">
        <v>6</v>
      </c>
    </row>
    <row r="2" spans="1:7" ht="30" customHeight="1" x14ac:dyDescent="0.25">
      <c r="A2" s="6" t="s">
        <v>7</v>
      </c>
      <c r="B2" s="7"/>
      <c r="C2" s="7"/>
      <c r="D2" s="7"/>
      <c r="E2" s="8"/>
      <c r="F2" s="8"/>
      <c r="G2" s="9"/>
    </row>
    <row r="3" spans="1:7" ht="30" customHeight="1" x14ac:dyDescent="0.25">
      <c r="A3" s="10" t="s">
        <v>10</v>
      </c>
      <c r="B3" s="11"/>
      <c r="C3" s="11"/>
      <c r="D3" s="11"/>
      <c r="E3" s="12"/>
      <c r="F3" s="12"/>
      <c r="G3" s="13"/>
    </row>
    <row r="4" spans="1:7" ht="30" customHeight="1" x14ac:dyDescent="0.25">
      <c r="A4" s="6" t="s">
        <v>12</v>
      </c>
      <c r="B4" s="7"/>
      <c r="C4" s="7"/>
      <c r="D4" s="7"/>
      <c r="E4" s="8"/>
      <c r="F4" s="8"/>
      <c r="G4" s="9"/>
    </row>
    <row r="5" spans="1:7" ht="30" customHeight="1" x14ac:dyDescent="0.25">
      <c r="A5" s="10" t="s">
        <v>14</v>
      </c>
      <c r="B5" s="11"/>
      <c r="C5" s="11"/>
      <c r="D5" s="11"/>
      <c r="E5" s="12"/>
      <c r="F5" s="12"/>
      <c r="G5" s="13"/>
    </row>
    <row r="6" spans="1:7" ht="30" customHeight="1" x14ac:dyDescent="0.25">
      <c r="A6" s="6" t="s">
        <v>17</v>
      </c>
      <c r="B6" s="7"/>
      <c r="C6" s="7"/>
      <c r="D6" s="7"/>
      <c r="E6" s="8"/>
      <c r="F6" s="8"/>
      <c r="G6" s="9"/>
    </row>
    <row r="7" spans="1:7" ht="30" customHeight="1" x14ac:dyDescent="0.25">
      <c r="A7" s="10" t="s">
        <v>19</v>
      </c>
      <c r="B7" s="11"/>
      <c r="C7" s="11"/>
      <c r="D7" s="11"/>
      <c r="E7" s="12"/>
      <c r="F7" s="12"/>
      <c r="G7" s="13"/>
    </row>
    <row r="8" spans="1:7" ht="30" customHeight="1" x14ac:dyDescent="0.25">
      <c r="A8" s="6" t="s">
        <v>21</v>
      </c>
      <c r="B8" s="7"/>
      <c r="C8" s="7"/>
      <c r="D8" s="7"/>
      <c r="E8" s="8"/>
      <c r="F8" s="8"/>
      <c r="G8" s="9"/>
    </row>
    <row r="9" spans="1:7" ht="30" customHeight="1" x14ac:dyDescent="0.25">
      <c r="A9" s="10" t="s">
        <v>23</v>
      </c>
      <c r="B9" s="11"/>
      <c r="C9" s="11"/>
      <c r="D9" s="11"/>
      <c r="E9" s="12"/>
      <c r="F9" s="12"/>
      <c r="G9" s="13"/>
    </row>
    <row r="10" spans="1:7" ht="30" customHeight="1" x14ac:dyDescent="0.25">
      <c r="A10" s="6" t="s">
        <v>24</v>
      </c>
      <c r="B10" s="7"/>
      <c r="C10" s="7"/>
      <c r="D10" s="7"/>
      <c r="E10" s="8"/>
      <c r="F10" s="8"/>
      <c r="G10" s="9"/>
    </row>
    <row r="11" spans="1:7" ht="30" customHeight="1" x14ac:dyDescent="0.25">
      <c r="A11" s="10" t="s">
        <v>26</v>
      </c>
      <c r="B11" s="11"/>
      <c r="C11" s="11"/>
      <c r="D11" s="11"/>
      <c r="E11" s="12"/>
      <c r="F11" s="12"/>
      <c r="G11" s="13"/>
    </row>
    <row r="12" spans="1:7" ht="30" customHeight="1" x14ac:dyDescent="0.25">
      <c r="A12" s="14" t="s">
        <v>27</v>
      </c>
      <c r="B12" s="15"/>
      <c r="C12" s="15"/>
      <c r="D12" s="15"/>
      <c r="E12" s="16"/>
      <c r="F12" s="16"/>
      <c r="G12" s="17"/>
    </row>
    <row r="13" spans="1:7" ht="30" customHeight="1" x14ac:dyDescent="0.25">
      <c r="A13" s="18" t="s">
        <v>29</v>
      </c>
      <c r="B13" s="19"/>
      <c r="C13" s="19"/>
      <c r="D13" s="19"/>
      <c r="E13" s="20"/>
      <c r="F13" s="20"/>
      <c r="G13" s="21"/>
    </row>
    <row r="14" spans="1:7" ht="30" customHeight="1" x14ac:dyDescent="0.25">
      <c r="A14" s="14" t="s">
        <v>31</v>
      </c>
      <c r="B14" s="15"/>
      <c r="C14" s="15"/>
      <c r="D14" s="15"/>
      <c r="E14" s="16"/>
      <c r="F14" s="16"/>
      <c r="G14" s="17"/>
    </row>
    <row r="15" spans="1:7" ht="30" customHeight="1" x14ac:dyDescent="0.25">
      <c r="A15" s="18" t="s">
        <v>33</v>
      </c>
      <c r="B15" s="19"/>
      <c r="C15" s="19"/>
      <c r="D15" s="19"/>
      <c r="E15" s="20"/>
      <c r="F15" s="20"/>
      <c r="G15" s="21"/>
    </row>
    <row r="16" spans="1:7" ht="30" customHeight="1" x14ac:dyDescent="0.25">
      <c r="A16" s="6" t="s">
        <v>35</v>
      </c>
      <c r="B16" s="7"/>
      <c r="C16" s="7"/>
      <c r="D16" s="7"/>
      <c r="E16" s="8"/>
      <c r="F16" s="8"/>
      <c r="G16" s="9"/>
    </row>
    <row r="17" spans="1:7" ht="30" customHeight="1" x14ac:dyDescent="0.25">
      <c r="A17" s="10" t="s">
        <v>37</v>
      </c>
      <c r="B17" s="11"/>
      <c r="C17" s="11"/>
      <c r="D17" s="11"/>
      <c r="E17" s="12"/>
      <c r="F17" s="12"/>
      <c r="G17" s="13"/>
    </row>
    <row r="18" spans="1:7" ht="30" customHeight="1" x14ac:dyDescent="0.25">
      <c r="A18" s="6" t="s">
        <v>38</v>
      </c>
      <c r="B18" s="7"/>
      <c r="C18" s="7"/>
      <c r="D18" s="7"/>
      <c r="E18" s="8"/>
      <c r="F18" s="8"/>
      <c r="G18" s="9"/>
    </row>
    <row r="19" spans="1:7" ht="30" customHeight="1" x14ac:dyDescent="0.25">
      <c r="A19" s="10" t="s">
        <v>40</v>
      </c>
      <c r="B19" s="11"/>
      <c r="C19" s="11"/>
      <c r="D19" s="11"/>
      <c r="E19" s="12"/>
      <c r="F19" s="12"/>
      <c r="G19" s="13"/>
    </row>
    <row r="20" spans="1:7" ht="30" customHeight="1" x14ac:dyDescent="0.25">
      <c r="A20" s="6" t="s">
        <v>42</v>
      </c>
      <c r="B20" s="7"/>
      <c r="C20" s="7"/>
      <c r="D20" s="7"/>
      <c r="E20" s="8"/>
      <c r="F20" s="8"/>
      <c r="G20" s="9"/>
    </row>
    <row r="21" spans="1:7" ht="30" customHeight="1" x14ac:dyDescent="0.25">
      <c r="A21" s="10" t="s">
        <v>44</v>
      </c>
      <c r="B21" s="11"/>
      <c r="C21" s="11"/>
      <c r="D21" s="11"/>
      <c r="E21" s="12"/>
      <c r="F21" s="12"/>
      <c r="G21" s="13"/>
    </row>
    <row r="22" spans="1:7" ht="30" customHeight="1" x14ac:dyDescent="0.25">
      <c r="A22" s="6" t="s">
        <v>46</v>
      </c>
      <c r="B22" s="7"/>
      <c r="C22" s="7"/>
      <c r="D22" s="7"/>
      <c r="E22" s="8"/>
      <c r="F22" s="8"/>
      <c r="G22" s="9"/>
    </row>
    <row r="23" spans="1:7" ht="30" customHeight="1" x14ac:dyDescent="0.25">
      <c r="A23" s="10" t="s">
        <v>48</v>
      </c>
      <c r="B23" s="11"/>
      <c r="C23" s="11"/>
      <c r="D23" s="11"/>
      <c r="E23" s="12"/>
      <c r="F23" s="12"/>
      <c r="G23" s="13"/>
    </row>
    <row r="24" spans="1:7" ht="30" customHeight="1" x14ac:dyDescent="0.25">
      <c r="A24" s="6" t="s">
        <v>50</v>
      </c>
      <c r="B24" s="7"/>
      <c r="C24" s="7"/>
      <c r="D24" s="7"/>
      <c r="E24" s="8"/>
      <c r="F24" s="8"/>
      <c r="G24" s="9"/>
    </row>
    <row r="25" spans="1:7" ht="30" customHeight="1" x14ac:dyDescent="0.25">
      <c r="A25" s="10" t="s">
        <v>52</v>
      </c>
      <c r="B25" s="11"/>
      <c r="C25" s="11"/>
      <c r="D25" s="11"/>
      <c r="E25" s="12"/>
      <c r="F25" s="12"/>
      <c r="G25" s="13"/>
    </row>
    <row r="26" spans="1:7" ht="30" customHeight="1" x14ac:dyDescent="0.25">
      <c r="A26" s="6" t="s">
        <v>54</v>
      </c>
      <c r="B26" s="7"/>
      <c r="C26" s="7"/>
      <c r="D26" s="7"/>
      <c r="E26" s="8"/>
      <c r="F26" s="8"/>
      <c r="G26" s="9"/>
    </row>
    <row r="27" spans="1:7" ht="30" customHeight="1" x14ac:dyDescent="0.25">
      <c r="A27" s="10" t="s">
        <v>55</v>
      </c>
      <c r="B27" s="11"/>
      <c r="C27" s="11"/>
      <c r="D27" s="11"/>
      <c r="E27" s="12"/>
      <c r="F27" s="12"/>
      <c r="G27" s="13"/>
    </row>
    <row r="28" spans="1:7" ht="30" customHeight="1" x14ac:dyDescent="0.25">
      <c r="A28" s="6" t="s">
        <v>57</v>
      </c>
      <c r="B28" s="7"/>
      <c r="C28" s="7"/>
      <c r="D28" s="7"/>
      <c r="E28" s="8"/>
      <c r="F28" s="8"/>
      <c r="G28" s="9"/>
    </row>
    <row r="29" spans="1:7" ht="30" customHeight="1" x14ac:dyDescent="0.25">
      <c r="A29" s="10" t="s">
        <v>59</v>
      </c>
      <c r="B29" s="11"/>
      <c r="C29" s="11"/>
      <c r="D29" s="11"/>
      <c r="E29" s="12"/>
      <c r="F29" s="12"/>
      <c r="G29" s="13"/>
    </row>
    <row r="30" spans="1:7" ht="30" customHeight="1" x14ac:dyDescent="0.25">
      <c r="A30" s="6" t="s">
        <v>61</v>
      </c>
      <c r="B30" s="7"/>
      <c r="C30" s="7"/>
      <c r="D30" s="7"/>
      <c r="E30" s="8"/>
      <c r="F30" s="8"/>
      <c r="G30" s="9"/>
    </row>
    <row r="31" spans="1:7" ht="30" customHeight="1" x14ac:dyDescent="0.25">
      <c r="A31" s="10" t="s">
        <v>63</v>
      </c>
      <c r="B31" s="11"/>
      <c r="C31" s="11"/>
      <c r="D31" s="11"/>
      <c r="E31" s="12"/>
      <c r="F31" s="12"/>
      <c r="G31" s="13"/>
    </row>
    <row r="32" spans="1:7" ht="30" customHeight="1" x14ac:dyDescent="0.25">
      <c r="A32" s="6" t="s">
        <v>65</v>
      </c>
      <c r="B32" s="7"/>
      <c r="C32" s="7"/>
      <c r="D32" s="7"/>
      <c r="E32" s="8"/>
      <c r="F32" s="8"/>
      <c r="G32" s="9"/>
    </row>
    <row r="33" spans="1:7" ht="30" customHeight="1" x14ac:dyDescent="0.25">
      <c r="A33" s="10" t="s">
        <v>67</v>
      </c>
      <c r="B33" s="11"/>
      <c r="C33" s="11"/>
      <c r="D33" s="11"/>
      <c r="E33" s="12"/>
      <c r="F33" s="12"/>
      <c r="G33" s="13"/>
    </row>
    <row r="34" spans="1:7" ht="30" customHeight="1" x14ac:dyDescent="0.25">
      <c r="A34" s="6" t="s">
        <v>69</v>
      </c>
      <c r="B34" s="7"/>
      <c r="C34" s="7"/>
      <c r="D34" s="7"/>
      <c r="E34" s="8"/>
      <c r="F34" s="8"/>
      <c r="G34" s="9"/>
    </row>
    <row r="35" spans="1:7" ht="30" customHeight="1" x14ac:dyDescent="0.25">
      <c r="A35" s="10" t="s">
        <v>71</v>
      </c>
      <c r="B35" s="11"/>
      <c r="C35" s="11"/>
      <c r="D35" s="11"/>
      <c r="E35" s="12"/>
      <c r="F35" s="12"/>
      <c r="G35" s="13"/>
    </row>
    <row r="36" spans="1:7" ht="30" customHeight="1" x14ac:dyDescent="0.25">
      <c r="A36" s="6" t="s">
        <v>73</v>
      </c>
      <c r="B36" s="7"/>
      <c r="C36" s="7"/>
      <c r="D36" s="7"/>
      <c r="E36" s="8"/>
      <c r="F36" s="8"/>
      <c r="G36" s="9"/>
    </row>
    <row r="37" spans="1:7" ht="30" customHeight="1" x14ac:dyDescent="0.25">
      <c r="A37" s="10" t="s">
        <v>75</v>
      </c>
      <c r="B37" s="11"/>
      <c r="C37" s="11"/>
      <c r="D37" s="11"/>
      <c r="E37" s="12"/>
      <c r="F37" s="12"/>
      <c r="G37" s="13"/>
    </row>
    <row r="38" spans="1:7" ht="30" customHeight="1" x14ac:dyDescent="0.25">
      <c r="A38" s="6" t="s">
        <v>77</v>
      </c>
      <c r="B38" s="7"/>
      <c r="C38" s="7"/>
      <c r="D38" s="7"/>
      <c r="E38" s="8"/>
      <c r="F38" s="8"/>
      <c r="G38" s="9"/>
    </row>
    <row r="39" spans="1:7" ht="30" customHeight="1" x14ac:dyDescent="0.25">
      <c r="A39" s="10" t="s">
        <v>79</v>
      </c>
      <c r="B39" s="11"/>
      <c r="C39" s="11"/>
      <c r="D39" s="11"/>
      <c r="E39" s="12"/>
      <c r="F39" s="12"/>
      <c r="G39" s="13"/>
    </row>
    <row r="40" spans="1:7" ht="30" customHeight="1" x14ac:dyDescent="0.25">
      <c r="A40" s="22" t="s">
        <v>81</v>
      </c>
      <c r="B40" s="23"/>
      <c r="C40" s="23"/>
      <c r="D40" s="23"/>
      <c r="E40" s="24"/>
      <c r="F40" s="24"/>
      <c r="G40" s="25"/>
    </row>
    <row r="41" spans="1:7" ht="30" customHeight="1" x14ac:dyDescent="0.25">
      <c r="A41" s="26" t="s">
        <v>83</v>
      </c>
      <c r="B41" s="27"/>
      <c r="C41" s="27"/>
      <c r="D41" s="27"/>
      <c r="E41" s="28"/>
      <c r="F41" s="28"/>
      <c r="G41" s="29"/>
    </row>
    <row r="42" spans="1:7" ht="30" customHeight="1" x14ac:dyDescent="0.25">
      <c r="A42" s="22" t="s">
        <v>85</v>
      </c>
      <c r="B42" s="23"/>
      <c r="C42" s="23"/>
      <c r="D42" s="23"/>
      <c r="E42" s="24"/>
      <c r="F42" s="24"/>
      <c r="G42" s="25"/>
    </row>
    <row r="43" spans="1:7" ht="30" customHeight="1" x14ac:dyDescent="0.25">
      <c r="A43" s="26" t="s">
        <v>87</v>
      </c>
      <c r="B43" s="27"/>
      <c r="C43" s="27"/>
      <c r="D43" s="27"/>
      <c r="E43" s="28"/>
      <c r="F43" s="28"/>
      <c r="G43" s="29"/>
    </row>
    <row r="44" spans="1:7" ht="30" customHeight="1" x14ac:dyDescent="0.25">
      <c r="A44" s="6" t="s">
        <v>89</v>
      </c>
      <c r="B44" s="7"/>
      <c r="C44" s="7"/>
      <c r="D44" s="7"/>
      <c r="E44" s="8"/>
      <c r="F44" s="8"/>
      <c r="G44" s="9"/>
    </row>
    <row r="45" spans="1:7" ht="30" customHeight="1" x14ac:dyDescent="0.25">
      <c r="A45" s="10" t="s">
        <v>91</v>
      </c>
      <c r="B45" s="11"/>
      <c r="C45" s="11"/>
      <c r="D45" s="11"/>
      <c r="E45" s="12"/>
      <c r="F45" s="12"/>
      <c r="G45" s="13"/>
    </row>
    <row r="46" spans="1:7" ht="30" customHeight="1" x14ac:dyDescent="0.25">
      <c r="A46" s="6" t="s">
        <v>92</v>
      </c>
      <c r="B46" s="7"/>
      <c r="C46" s="7"/>
      <c r="D46" s="7"/>
      <c r="E46" s="8"/>
      <c r="F46" s="8"/>
      <c r="G46" s="9"/>
    </row>
    <row r="47" spans="1:7" ht="30" customHeight="1" x14ac:dyDescent="0.25">
      <c r="A47" s="10" t="s">
        <v>94</v>
      </c>
      <c r="B47" s="11"/>
      <c r="C47" s="11"/>
      <c r="D47" s="11"/>
      <c r="E47" s="12"/>
      <c r="F47" s="12"/>
      <c r="G47" s="13"/>
    </row>
    <row r="48" spans="1:7" ht="30" customHeight="1" x14ac:dyDescent="0.25">
      <c r="A48" s="6" t="s">
        <v>95</v>
      </c>
      <c r="B48" s="7"/>
      <c r="C48" s="7"/>
      <c r="D48" s="7"/>
      <c r="E48" s="8"/>
      <c r="F48" s="8"/>
      <c r="G48" s="9"/>
    </row>
    <row r="49" spans="1:7" ht="30" customHeight="1" x14ac:dyDescent="0.25">
      <c r="A49" s="10" t="s">
        <v>97</v>
      </c>
      <c r="B49" s="11"/>
      <c r="C49" s="11"/>
      <c r="D49" s="11"/>
      <c r="E49" s="12"/>
      <c r="F49" s="12"/>
      <c r="G49" s="13"/>
    </row>
    <row r="50" spans="1:7" ht="30" customHeight="1" x14ac:dyDescent="0.25">
      <c r="A50" s="6" t="s">
        <v>99</v>
      </c>
      <c r="B50" s="7"/>
      <c r="C50" s="7"/>
      <c r="D50" s="7"/>
      <c r="E50" s="8"/>
      <c r="F50" s="8"/>
      <c r="G50" s="9"/>
    </row>
    <row r="51" spans="1:7" ht="30" customHeight="1" x14ac:dyDescent="0.25">
      <c r="A51" s="10" t="s">
        <v>101</v>
      </c>
      <c r="B51" s="11"/>
      <c r="C51" s="11"/>
      <c r="D51" s="11"/>
      <c r="E51" s="12"/>
      <c r="F51" s="12"/>
      <c r="G51" s="13"/>
    </row>
    <row r="52" spans="1:7" ht="30" customHeight="1" x14ac:dyDescent="0.25">
      <c r="A52" s="6" t="s">
        <v>103</v>
      </c>
      <c r="B52" s="7"/>
      <c r="C52" s="7"/>
      <c r="D52" s="7"/>
      <c r="E52" s="8"/>
      <c r="F52" s="8"/>
      <c r="G52" s="9"/>
    </row>
    <row r="53" spans="1:7" ht="30" customHeight="1" x14ac:dyDescent="0.25">
      <c r="A53" s="10" t="s">
        <v>105</v>
      </c>
      <c r="B53" s="11"/>
      <c r="C53" s="11"/>
      <c r="D53" s="11"/>
      <c r="E53" s="12"/>
      <c r="F53" s="12"/>
      <c r="G53" s="13"/>
    </row>
    <row r="54" spans="1:7" ht="30" customHeight="1" x14ac:dyDescent="0.25">
      <c r="A54" s="30" t="s">
        <v>107</v>
      </c>
      <c r="B54" s="31"/>
      <c r="C54" s="31"/>
      <c r="D54" s="31"/>
      <c r="E54" s="32"/>
      <c r="F54" s="32"/>
      <c r="G54" s="33"/>
    </row>
  </sheetData>
  <autoFilter ref="A1:G54" xr:uid="{00000000-0009-0000-0000-00000B000000}"/>
  <conditionalFormatting sqref="E2">
    <cfRule type="expression" dxfId="11" priority="7">
      <formula>"D2&gt;0"</formula>
    </cfRule>
  </conditionalFormatting>
  <conditionalFormatting sqref="E2:E37 E40:E54">
    <cfRule type="containsText" dxfId="10" priority="6" operator="containsText" text="We borrowerd more than we lent">
      <formula>NOT(ISERROR(SEARCH("We borrowerd more than we lent",E2)))</formula>
    </cfRule>
  </conditionalFormatting>
  <conditionalFormatting sqref="F2:F37 F40:F54">
    <cfRule type="containsText" dxfId="9" priority="5" operator="containsText" text="We lent more than we borrowed">
      <formula>NOT(ISERROR(SEARCH("We lent more than we borrowed",F2)))</formula>
    </cfRule>
  </conditionalFormatting>
  <conditionalFormatting sqref="E38">
    <cfRule type="containsText" dxfId="8" priority="4" operator="containsText" text="We borrowerd more than we lent">
      <formula>NOT(ISERROR(SEARCH("We borrowerd more than we lent",E38)))</formula>
    </cfRule>
  </conditionalFormatting>
  <conditionalFormatting sqref="F38">
    <cfRule type="containsText" dxfId="7" priority="3" operator="containsText" text="We lent more than we borrowed">
      <formula>NOT(ISERROR(SEARCH("We lent more than we borrowed",F38)))</formula>
    </cfRule>
  </conditionalFormatting>
  <conditionalFormatting sqref="E39">
    <cfRule type="containsText" dxfId="6" priority="2" operator="containsText" text="We borrowerd more than we lent">
      <formula>NOT(ISERROR(SEARCH("We borrowerd more than we lent",E39)))</formula>
    </cfRule>
  </conditionalFormatting>
  <conditionalFormatting sqref="F39">
    <cfRule type="containsText" dxfId="5" priority="1" operator="containsText" text="We lent more than we borrowed">
      <formula>NOT(ISERROR(SEARCH("We lent more than we borrowed",F39)))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G54"/>
  <sheetViews>
    <sheetView zoomScale="85" zoomScaleNormal="85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ColWidth="9.140625" defaultRowHeight="15" x14ac:dyDescent="0.25"/>
  <cols>
    <col min="1" max="1" width="45.7109375" customWidth="1"/>
    <col min="2" max="3" width="30.7109375" customWidth="1"/>
    <col min="4" max="4" width="20.7109375" customWidth="1"/>
    <col min="5" max="6" width="25.7109375" style="34" customWidth="1"/>
    <col min="7" max="7" width="28.7109375" customWidth="1"/>
  </cols>
  <sheetData>
    <row r="1" spans="1:7" s="5" customFormat="1" ht="30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4" t="s">
        <v>6</v>
      </c>
    </row>
    <row r="2" spans="1:7" ht="30" customHeight="1" x14ac:dyDescent="0.25">
      <c r="A2" s="6" t="s">
        <v>7</v>
      </c>
      <c r="B2" s="7">
        <f>January!B2+February!B2+March!B2+April!B2+May!B2+June!B2+July!B2+August!B2+September!B2+October!B2+November!B2+December!B2</f>
        <v>11394</v>
      </c>
      <c r="C2" s="7">
        <f>January!C2+February!C2+March!C2+April!C2+May!C2+June!C2+July!C2+August!C2+September!C2+October!C2+November!C2+December!C2</f>
        <v>9204</v>
      </c>
      <c r="D2" s="7">
        <f>January!D2+February!D2+March!D2+April!D2+May!D2+June!D2+July!D2+August!D2+September!D2+October!D2+November!D2+December!D2</f>
        <v>2190</v>
      </c>
      <c r="E2" s="8" t="str">
        <f>IF(D2 &gt; 0, "We borrowed more than we lent this year", "")</f>
        <v>We borrowed more than we lent this year</v>
      </c>
      <c r="F2" s="8" t="str">
        <f>IF(D2 &lt; 0, "We lent more than we borrowed this year", "")</f>
        <v/>
      </c>
      <c r="G2" s="9" t="str">
        <f>IF(ISERROR(ROUND(B2/C2,2)&amp;" : 1"), "", ROUND(B2/C2,2)&amp;" : 1")</f>
        <v>1.24 : 1</v>
      </c>
    </row>
    <row r="3" spans="1:7" ht="30" customHeight="1" x14ac:dyDescent="0.25">
      <c r="A3" s="10" t="s">
        <v>10</v>
      </c>
      <c r="B3" s="11">
        <f>January!B3+February!B3+March!B3+April!B3+May!B3+June!B3+July!B3+August!B3+September!B3+October!B3+November!B3+December!B3</f>
        <v>5123</v>
      </c>
      <c r="C3" s="11">
        <f>January!C3+February!C3+March!C3+April!C3+May!C3+June!C3+July!C3+August!C3+September!C3+October!C3+November!C3+December!C3</f>
        <v>3107</v>
      </c>
      <c r="D3" s="11">
        <f>January!D3+February!D3+March!D3+April!D3+May!D3+June!D3+July!D3+August!D3+September!D3+October!D3+November!D3+December!D3</f>
        <v>2016</v>
      </c>
      <c r="E3" s="12" t="str">
        <f t="shared" ref="E3:E54" si="0">IF(D3 &gt; 0, "We borrowed more than we lent this year", "")</f>
        <v>We borrowed more than we lent this year</v>
      </c>
      <c r="F3" s="12" t="str">
        <f t="shared" ref="F3:F54" si="1">IF(D3 &lt; 0, "We lent more than we borrowed this year", "")</f>
        <v/>
      </c>
      <c r="G3" s="13" t="str">
        <f t="shared" ref="G3:G54" si="2">IF(ISERROR(ROUND(B3/C3,2)&amp;" : 1"), "", ROUND(B3/C3,2)&amp;" : 1")</f>
        <v>1.65 : 1</v>
      </c>
    </row>
    <row r="4" spans="1:7" ht="30" customHeight="1" x14ac:dyDescent="0.25">
      <c r="A4" s="6" t="s">
        <v>12</v>
      </c>
      <c r="B4" s="7">
        <f>January!B4+February!B4+March!B4+April!B4+May!B4+June!B4+July!B4+August!B4+September!B4+October!B4+November!B4+December!B4</f>
        <v>9569</v>
      </c>
      <c r="C4" s="7">
        <f>January!C4+February!C4+March!C4+April!C4+May!C4+June!C4+July!C4+August!C4+September!C4+October!C4+November!C4+December!C4</f>
        <v>9086</v>
      </c>
      <c r="D4" s="7">
        <f>January!D4+February!D4+March!D4+April!D4+May!D4+June!D4+July!D4+August!D4+September!D4+October!D4+November!D4+December!D4</f>
        <v>483</v>
      </c>
      <c r="E4" s="8" t="str">
        <f t="shared" si="0"/>
        <v>We borrowed more than we lent this year</v>
      </c>
      <c r="F4" s="8" t="str">
        <f t="shared" si="1"/>
        <v/>
      </c>
      <c r="G4" s="9" t="str">
        <f t="shared" si="2"/>
        <v>1.05 : 1</v>
      </c>
    </row>
    <row r="5" spans="1:7" ht="30" customHeight="1" x14ac:dyDescent="0.25">
      <c r="A5" s="10" t="s">
        <v>14</v>
      </c>
      <c r="B5" s="11">
        <f>January!B5+February!B5+March!B5+April!B5+May!B5+June!B5+July!B5+August!B5+September!B5+October!B5+November!B5+December!B5</f>
        <v>195</v>
      </c>
      <c r="C5" s="11">
        <f>January!C5+February!C5+March!C5+April!C5+May!C5+June!C5+July!C5+August!C5+September!C5+October!C5+November!C5+December!C5</f>
        <v>910</v>
      </c>
      <c r="D5" s="11">
        <f>January!D5+February!D5+March!D5+April!D5+May!D5+June!D5+July!D5+August!D5+September!D5+October!D5+November!D5+December!D5</f>
        <v>-715</v>
      </c>
      <c r="E5" s="12" t="str">
        <f t="shared" si="0"/>
        <v/>
      </c>
      <c r="F5" s="12" t="str">
        <f t="shared" si="1"/>
        <v>We lent more than we borrowed this year</v>
      </c>
      <c r="G5" s="13" t="str">
        <f t="shared" si="2"/>
        <v>0.21 : 1</v>
      </c>
    </row>
    <row r="6" spans="1:7" ht="30" customHeight="1" x14ac:dyDescent="0.25">
      <c r="A6" s="6" t="s">
        <v>17</v>
      </c>
      <c r="B6" s="7">
        <f>January!B6+February!B6+March!B6+April!B6+May!B6+June!B6+July!B6+August!B6+September!B6+October!B6+November!B6+December!B6</f>
        <v>7768</v>
      </c>
      <c r="C6" s="7">
        <f>January!C6+February!C6+March!C6+April!C6+May!C6+June!C6+July!C6+August!C6+September!C6+October!C6+November!C6+December!C6</f>
        <v>8834</v>
      </c>
      <c r="D6" s="7">
        <f>January!D6+February!D6+March!D6+April!D6+May!D6+June!D6+July!D6+August!D6+September!D6+October!D6+November!D6+December!D6</f>
        <v>-1066</v>
      </c>
      <c r="E6" s="8" t="str">
        <f t="shared" si="0"/>
        <v/>
      </c>
      <c r="F6" s="8" t="str">
        <f t="shared" si="1"/>
        <v>We lent more than we borrowed this year</v>
      </c>
      <c r="G6" s="9" t="str">
        <f t="shared" si="2"/>
        <v>0.88 : 1</v>
      </c>
    </row>
    <row r="7" spans="1:7" ht="30" customHeight="1" x14ac:dyDescent="0.25">
      <c r="A7" s="10" t="s">
        <v>19</v>
      </c>
      <c r="B7" s="11">
        <f>January!B7+February!B7+March!B7+April!B7+May!B7+June!B7+July!B7+August!B7+September!B7+October!B7+November!B7+December!B7</f>
        <v>2028</v>
      </c>
      <c r="C7" s="11">
        <f>January!C7+February!C7+March!C7+April!C7+May!C7+June!C7+July!C7+August!C7+September!C7+October!C7+November!C7+December!C7</f>
        <v>1368</v>
      </c>
      <c r="D7" s="11">
        <f>January!D7+February!D7+March!D7+April!D7+May!D7+June!D7+July!D7+August!D7+September!D7+October!D7+November!D7+December!D7</f>
        <v>660</v>
      </c>
      <c r="E7" s="12" t="str">
        <f t="shared" si="0"/>
        <v>We borrowed more than we lent this year</v>
      </c>
      <c r="F7" s="12" t="str">
        <f t="shared" si="1"/>
        <v/>
      </c>
      <c r="G7" s="13" t="str">
        <f t="shared" si="2"/>
        <v>1.48 : 1</v>
      </c>
    </row>
    <row r="8" spans="1:7" ht="30" customHeight="1" x14ac:dyDescent="0.25">
      <c r="A8" s="6" t="s">
        <v>21</v>
      </c>
      <c r="B8" s="7">
        <f>January!B8+February!B8+March!B8+April!B8+May!B8+June!B8+July!B8+August!B8+September!B8+October!B8+November!B8+December!B8</f>
        <v>929</v>
      </c>
      <c r="C8" s="7">
        <f>January!C8+February!C8+March!C8+April!C8+May!C8+June!C8+July!C8+August!C8+September!C8+October!C8+November!C8+December!C8</f>
        <v>1254</v>
      </c>
      <c r="D8" s="7">
        <f>January!D8+February!D8+March!D8+April!D8+May!D8+June!D8+July!D8+August!D8+September!D8+October!D8+November!D8+December!D8</f>
        <v>-325</v>
      </c>
      <c r="E8" s="8" t="str">
        <f t="shared" si="0"/>
        <v/>
      </c>
      <c r="F8" s="8" t="str">
        <f t="shared" si="1"/>
        <v>We lent more than we borrowed this year</v>
      </c>
      <c r="G8" s="9" t="str">
        <f t="shared" si="2"/>
        <v>0.74 : 1</v>
      </c>
    </row>
    <row r="9" spans="1:7" ht="30" customHeight="1" x14ac:dyDescent="0.25">
      <c r="A9" s="10" t="s">
        <v>23</v>
      </c>
      <c r="B9" s="11">
        <f>January!B9+February!B9+March!B9+April!B9+May!B9+June!B9+July!B9+August!B9+September!B9+October!B9+November!B9+December!B9</f>
        <v>514</v>
      </c>
      <c r="C9" s="11">
        <f>January!C9+February!C9+March!C9+April!C9+May!C9+June!C9+July!C9+August!C9+September!C9+October!C9+November!C9+December!C9</f>
        <v>398</v>
      </c>
      <c r="D9" s="11">
        <f>January!D9+February!D9+March!D9+April!D9+May!D9+June!D9+July!D9+August!D9+September!D9+October!D9+November!D9+December!D9</f>
        <v>116</v>
      </c>
      <c r="E9" s="12" t="str">
        <f t="shared" si="0"/>
        <v>We borrowed more than we lent this year</v>
      </c>
      <c r="F9" s="12" t="str">
        <f t="shared" si="1"/>
        <v/>
      </c>
      <c r="G9" s="13" t="str">
        <f t="shared" si="2"/>
        <v>1.29 : 1</v>
      </c>
    </row>
    <row r="10" spans="1:7" ht="30" customHeight="1" x14ac:dyDescent="0.25">
      <c r="A10" s="6" t="s">
        <v>24</v>
      </c>
      <c r="B10" s="7">
        <f>January!B10+February!B10+March!B10+April!B10+May!B10+June!B10+July!B10+August!B10+September!B10+October!B10+November!B10+December!B10</f>
        <v>5</v>
      </c>
      <c r="C10" s="7">
        <f>January!C10+February!C10+March!C10+April!C10+May!C10+June!C10+July!C10+August!C10+September!C10+October!C10+November!C10+December!C10</f>
        <v>169</v>
      </c>
      <c r="D10" s="7">
        <f>January!D10+February!D10+March!D10+April!D10+May!D10+June!D10+July!D10+August!D10+September!D10+October!D10+November!D10+December!D10</f>
        <v>-164</v>
      </c>
      <c r="E10" s="8" t="str">
        <f t="shared" si="0"/>
        <v/>
      </c>
      <c r="F10" s="8" t="str">
        <f t="shared" si="1"/>
        <v>We lent more than we borrowed this year</v>
      </c>
      <c r="G10" s="9" t="str">
        <f t="shared" si="2"/>
        <v>0.03 : 1</v>
      </c>
    </row>
    <row r="11" spans="1:7" ht="30" customHeight="1" x14ac:dyDescent="0.25">
      <c r="A11" s="10" t="s">
        <v>26</v>
      </c>
      <c r="B11" s="11">
        <f>January!B11+February!B11+March!B11+April!B11+May!B11+June!B11+July!B11+August!B11+September!B11+October!B11+November!B11+December!B11</f>
        <v>0</v>
      </c>
      <c r="C11" s="11">
        <f>January!C11+February!C11+March!C11+April!C11+May!C11+June!C11+July!C11+August!C11+September!C11+October!C11+November!C11+December!C11</f>
        <v>0</v>
      </c>
      <c r="D11" s="11">
        <f>January!D11+February!D11+March!D11+April!D11+May!D11+June!D11+July!D11+August!D11+September!D11+October!D11+November!D11+December!D11</f>
        <v>0</v>
      </c>
      <c r="E11" s="12" t="str">
        <f t="shared" si="0"/>
        <v/>
      </c>
      <c r="F11" s="12" t="str">
        <f t="shared" si="1"/>
        <v/>
      </c>
      <c r="G11" s="13" t="str">
        <f t="shared" si="2"/>
        <v/>
      </c>
    </row>
    <row r="12" spans="1:7" ht="30" customHeight="1" x14ac:dyDescent="0.25">
      <c r="A12" s="14" t="s">
        <v>27</v>
      </c>
      <c r="B12" s="15">
        <f>January!B12+February!B12+March!B12+April!B12+May!B12+June!B12+July!B12+August!B12+September!B12+October!B12+November!B12+December!B12</f>
        <v>41</v>
      </c>
      <c r="C12" s="15">
        <f>January!C12+February!C12+March!C12+April!C12+May!C12+June!C12+July!C12+August!C12+September!C12+October!C12+November!C12+December!C12</f>
        <v>154</v>
      </c>
      <c r="D12" s="15">
        <f>January!D12+February!D12+March!D12+April!D12+May!D12+June!D12+July!D12+August!D12+September!D12+October!D12+November!D12+December!D12</f>
        <v>-113</v>
      </c>
      <c r="E12" s="16" t="str">
        <f t="shared" si="0"/>
        <v/>
      </c>
      <c r="F12" s="16" t="str">
        <f t="shared" si="1"/>
        <v>We lent more than we borrowed this year</v>
      </c>
      <c r="G12" s="17" t="str">
        <f t="shared" si="2"/>
        <v>0.27 : 1</v>
      </c>
    </row>
    <row r="13" spans="1:7" ht="30" customHeight="1" x14ac:dyDescent="0.25">
      <c r="A13" s="18" t="s">
        <v>29</v>
      </c>
      <c r="B13" s="19">
        <f>January!B13+February!B13+March!B13+April!B13+May!B13+June!B13+July!B13+August!B13+September!B13+October!B13+November!B13+December!B13</f>
        <v>349</v>
      </c>
      <c r="C13" s="19">
        <f>January!C13+February!C13+March!C13+April!C13+May!C13+June!C13+July!C13+August!C13+September!C13+October!C13+November!C13+December!C13</f>
        <v>460</v>
      </c>
      <c r="D13" s="19">
        <f>January!D13+February!D13+March!D13+April!D13+May!D13+June!D13+July!D13+August!D13+September!D13+October!D13+November!D13+December!D13</f>
        <v>-111</v>
      </c>
      <c r="E13" s="20" t="str">
        <f t="shared" si="0"/>
        <v/>
      </c>
      <c r="F13" s="20" t="str">
        <f t="shared" si="1"/>
        <v>We lent more than we borrowed this year</v>
      </c>
      <c r="G13" s="21" t="str">
        <f t="shared" si="2"/>
        <v>0.76 : 1</v>
      </c>
    </row>
    <row r="14" spans="1:7" ht="30" customHeight="1" x14ac:dyDescent="0.25">
      <c r="A14" s="14" t="s">
        <v>31</v>
      </c>
      <c r="B14" s="15">
        <f>January!B14+February!B14+March!B14+April!B14+May!B14+June!B14+July!B14+August!B14+September!B14+October!B14+November!B14+December!B14</f>
        <v>979</v>
      </c>
      <c r="C14" s="15">
        <f>January!C14+February!C14+March!C14+April!C14+May!C14+June!C14+July!C14+August!C14+September!C14+October!C14+November!C14+December!C14</f>
        <v>2295</v>
      </c>
      <c r="D14" s="15">
        <f>January!D14+February!D14+March!D14+April!D14+May!D14+June!D14+July!D14+August!D14+September!D14+October!D14+November!D14+December!D14</f>
        <v>-1316</v>
      </c>
      <c r="E14" s="16" t="str">
        <f t="shared" si="0"/>
        <v/>
      </c>
      <c r="F14" s="16" t="str">
        <f t="shared" si="1"/>
        <v>We lent more than we borrowed this year</v>
      </c>
      <c r="G14" s="17" t="str">
        <f t="shared" si="2"/>
        <v>0.43 : 1</v>
      </c>
    </row>
    <row r="15" spans="1:7" ht="30" customHeight="1" x14ac:dyDescent="0.25">
      <c r="A15" s="18" t="s">
        <v>33</v>
      </c>
      <c r="B15" s="19">
        <f>January!B15+February!B15+March!B15+April!B15+May!B15+June!B15+July!B15+August!B15+September!B15+October!B15+November!B15+December!B15</f>
        <v>379</v>
      </c>
      <c r="C15" s="19">
        <f>January!C15+February!C15+March!C15+April!C15+May!C15+June!C15+July!C15+August!C15+September!C15+October!C15+November!C15+December!C15</f>
        <v>1123</v>
      </c>
      <c r="D15" s="19">
        <f>January!D15+February!D15+March!D15+April!D15+May!D15+June!D15+July!D15+August!D15+September!D15+October!D15+November!D15+December!D15</f>
        <v>-744</v>
      </c>
      <c r="E15" s="20" t="str">
        <f t="shared" si="0"/>
        <v/>
      </c>
      <c r="F15" s="20" t="str">
        <f t="shared" si="1"/>
        <v>We lent more than we borrowed this year</v>
      </c>
      <c r="G15" s="21" t="str">
        <f t="shared" si="2"/>
        <v>0.34 : 1</v>
      </c>
    </row>
    <row r="16" spans="1:7" ht="30" customHeight="1" x14ac:dyDescent="0.25">
      <c r="A16" s="6" t="s">
        <v>35</v>
      </c>
      <c r="B16" s="7">
        <f>January!B16+February!B16+March!B16+April!B16+May!B16+June!B16+July!B16+August!B16+September!B16+October!B16+November!B16+December!B16</f>
        <v>470</v>
      </c>
      <c r="C16" s="7">
        <f>January!C16+February!C16+March!C16+April!C16+May!C16+June!C16+July!C16+August!C16+September!C16+October!C16+November!C16+December!C16</f>
        <v>1335</v>
      </c>
      <c r="D16" s="7">
        <f>January!D16+February!D16+March!D16+April!D16+May!D16+June!D16+July!D16+August!D16+September!D16+October!D16+November!D16+December!D16</f>
        <v>-865</v>
      </c>
      <c r="E16" s="8" t="str">
        <f t="shared" si="0"/>
        <v/>
      </c>
      <c r="F16" s="8" t="str">
        <f t="shared" si="1"/>
        <v>We lent more than we borrowed this year</v>
      </c>
      <c r="G16" s="9" t="str">
        <f t="shared" si="2"/>
        <v>0.35 : 1</v>
      </c>
    </row>
    <row r="17" spans="1:7" ht="30" customHeight="1" x14ac:dyDescent="0.25">
      <c r="A17" s="10" t="s">
        <v>37</v>
      </c>
      <c r="B17" s="11">
        <f>January!B17+February!B17+March!B17+April!B17+May!B17+June!B17+July!B17+August!B17+September!B17+October!B17+November!B17+December!B17</f>
        <v>5246</v>
      </c>
      <c r="C17" s="11">
        <f>January!C17+February!C17+March!C17+April!C17+May!C17+June!C17+July!C17+August!C17+September!C17+October!C17+November!C17+December!C17</f>
        <v>3375</v>
      </c>
      <c r="D17" s="11">
        <f>January!D17+February!D17+March!D17+April!D17+May!D17+June!D17+July!D17+August!D17+September!D17+October!D17+November!D17+December!D17</f>
        <v>1871</v>
      </c>
      <c r="E17" s="12" t="str">
        <f t="shared" si="0"/>
        <v>We borrowed more than we lent this year</v>
      </c>
      <c r="F17" s="12" t="str">
        <f t="shared" si="1"/>
        <v/>
      </c>
      <c r="G17" s="13" t="str">
        <f t="shared" si="2"/>
        <v>1.55 : 1</v>
      </c>
    </row>
    <row r="18" spans="1:7" ht="30" customHeight="1" x14ac:dyDescent="0.25">
      <c r="A18" s="6" t="s">
        <v>38</v>
      </c>
      <c r="B18" s="7">
        <f>January!B18+February!B18+March!B18+April!B18+May!B18+June!B18+July!B18+August!B18+September!B18+October!B18+November!B18+December!B18</f>
        <v>641</v>
      </c>
      <c r="C18" s="7">
        <f>January!C18+February!C18+March!C18+April!C18+May!C18+June!C18+July!C18+August!C18+September!C18+October!C18+November!C18+December!C18</f>
        <v>670</v>
      </c>
      <c r="D18" s="7">
        <f>January!D18+February!D18+March!D18+April!D18+May!D18+June!D18+July!D18+August!D18+September!D18+October!D18+November!D18+December!D18</f>
        <v>-29</v>
      </c>
      <c r="E18" s="8" t="str">
        <f t="shared" si="0"/>
        <v/>
      </c>
      <c r="F18" s="8" t="str">
        <f t="shared" si="1"/>
        <v>We lent more than we borrowed this year</v>
      </c>
      <c r="G18" s="9" t="str">
        <f t="shared" si="2"/>
        <v>0.96 : 1</v>
      </c>
    </row>
    <row r="19" spans="1:7" ht="30" customHeight="1" x14ac:dyDescent="0.25">
      <c r="A19" s="10" t="s">
        <v>40</v>
      </c>
      <c r="B19" s="11">
        <f>January!B19+February!B19+March!B19+April!B19+May!B19+June!B19+July!B19+August!B19+September!B19+October!B19+November!B19+December!B19</f>
        <v>4034</v>
      </c>
      <c r="C19" s="11">
        <f>January!C19+February!C19+March!C19+April!C19+May!C19+June!C19+July!C19+August!C19+September!C19+October!C19+November!C19+December!C19</f>
        <v>2606</v>
      </c>
      <c r="D19" s="11">
        <f>January!D19+February!D19+March!D19+April!D19+May!D19+June!D19+July!D19+August!D19+September!D19+October!D19+November!D19+December!D19</f>
        <v>1428</v>
      </c>
      <c r="E19" s="12" t="str">
        <f t="shared" si="0"/>
        <v>We borrowed more than we lent this year</v>
      </c>
      <c r="F19" s="12" t="str">
        <f t="shared" si="1"/>
        <v/>
      </c>
      <c r="G19" s="13" t="str">
        <f t="shared" si="2"/>
        <v>1.55 : 1</v>
      </c>
    </row>
    <row r="20" spans="1:7" ht="30" customHeight="1" x14ac:dyDescent="0.25">
      <c r="A20" s="6" t="s">
        <v>42</v>
      </c>
      <c r="B20" s="7">
        <f>January!B20+February!B20+March!B20+April!B20+May!B20+June!B20+July!B20+August!B20+September!B20+October!B20+November!B20+December!B20</f>
        <v>16</v>
      </c>
      <c r="C20" s="7">
        <f>January!C20+February!C20+March!C20+April!C20+May!C20+June!C20+July!C20+August!C20+September!C20+October!C20+November!C20+December!C20</f>
        <v>335</v>
      </c>
      <c r="D20" s="7">
        <f>January!D20+February!D20+March!D20+April!D20+May!D20+June!D20+July!D20+August!D20+September!D20+October!D20+November!D20+December!D20</f>
        <v>-319</v>
      </c>
      <c r="E20" s="8" t="str">
        <f t="shared" si="0"/>
        <v/>
      </c>
      <c r="F20" s="8" t="str">
        <f t="shared" si="1"/>
        <v>We lent more than we borrowed this year</v>
      </c>
      <c r="G20" s="9" t="str">
        <f t="shared" si="2"/>
        <v>0.05 : 1</v>
      </c>
    </row>
    <row r="21" spans="1:7" ht="30" customHeight="1" x14ac:dyDescent="0.25">
      <c r="A21" s="10" t="s">
        <v>44</v>
      </c>
      <c r="B21" s="11">
        <f>January!B21+February!B21+March!B21+April!B21+May!B21+June!B21+July!B21+August!B21+September!B21+October!B21+November!B21+December!B21</f>
        <v>3976</v>
      </c>
      <c r="C21" s="11">
        <f>January!C21+February!C21+March!C21+April!C21+May!C21+June!C21+July!C21+August!C21+September!C21+October!C21+November!C21+December!C21</f>
        <v>3127</v>
      </c>
      <c r="D21" s="11">
        <f>January!D21+February!D21+March!D21+April!D21+May!D21+June!D21+July!D21+August!D21+September!D21+October!D21+November!D21+December!D21</f>
        <v>849</v>
      </c>
      <c r="E21" s="12" t="str">
        <f t="shared" si="0"/>
        <v>We borrowed more than we lent this year</v>
      </c>
      <c r="F21" s="12" t="str">
        <f t="shared" si="1"/>
        <v/>
      </c>
      <c r="G21" s="13" t="str">
        <f t="shared" si="2"/>
        <v>1.27 : 1</v>
      </c>
    </row>
    <row r="22" spans="1:7" ht="30" customHeight="1" x14ac:dyDescent="0.25">
      <c r="A22" s="6" t="s">
        <v>46</v>
      </c>
      <c r="B22" s="7">
        <f>January!B22+February!B22+March!B22+April!B22+May!B22+June!B22+July!B22+August!B22+September!B22+October!B22+November!B22+December!B22</f>
        <v>659</v>
      </c>
      <c r="C22" s="7">
        <f>January!C22+February!C22+March!C22+April!C22+May!C22+June!C22+July!C22+August!C22+September!C22+October!C22+November!C22+December!C22</f>
        <v>1816</v>
      </c>
      <c r="D22" s="7">
        <f>January!D22+February!D22+March!D22+April!D22+May!D22+June!D22+July!D22+August!D22+September!D22+October!D22+November!D22+December!D22</f>
        <v>-1157</v>
      </c>
      <c r="E22" s="8" t="str">
        <f t="shared" si="0"/>
        <v/>
      </c>
      <c r="F22" s="8" t="str">
        <f t="shared" si="1"/>
        <v>We lent more than we borrowed this year</v>
      </c>
      <c r="G22" s="9" t="str">
        <f t="shared" si="2"/>
        <v>0.36 : 1</v>
      </c>
    </row>
    <row r="23" spans="1:7" ht="30" customHeight="1" x14ac:dyDescent="0.25">
      <c r="A23" s="10" t="s">
        <v>48</v>
      </c>
      <c r="B23" s="11">
        <f>January!B23+February!B23+March!B23+April!B23+May!B23+June!B23+July!B23+August!B23+September!B23+October!B23+November!B23+December!B23</f>
        <v>5286</v>
      </c>
      <c r="C23" s="11">
        <f>January!C23+February!C23+March!C23+April!C23+May!C23+June!C23+July!C23+August!C23+September!C23+October!C23+November!C23+December!C23</f>
        <v>4621</v>
      </c>
      <c r="D23" s="11">
        <f>January!D23+February!D23+March!D23+April!D23+May!D23+June!D23+July!D23+August!D23+September!D23+October!D23+November!D23+December!D23</f>
        <v>665</v>
      </c>
      <c r="E23" s="12" t="str">
        <f t="shared" si="0"/>
        <v>We borrowed more than we lent this year</v>
      </c>
      <c r="F23" s="12" t="str">
        <f t="shared" si="1"/>
        <v/>
      </c>
      <c r="G23" s="13" t="str">
        <f t="shared" si="2"/>
        <v>1.14 : 1</v>
      </c>
    </row>
    <row r="24" spans="1:7" ht="30" customHeight="1" x14ac:dyDescent="0.25">
      <c r="A24" s="6" t="s">
        <v>50</v>
      </c>
      <c r="B24" s="7">
        <f>January!B24+February!B24+March!B24+April!B24+May!B24+June!B24+July!B24+August!B24+September!B24+October!B24+November!B24+December!B24</f>
        <v>13971</v>
      </c>
      <c r="C24" s="7">
        <f>January!C24+February!C24+March!C24+April!C24+May!C24+June!C24+July!C24+August!C24+September!C24+October!C24+November!C24+December!C24</f>
        <v>11195</v>
      </c>
      <c r="D24" s="7">
        <f>January!D24+February!D24+March!D24+April!D24+May!D24+June!D24+July!D24+August!D24+September!D24+October!D24+November!D24+December!D24</f>
        <v>2776</v>
      </c>
      <c r="E24" s="8" t="str">
        <f t="shared" si="0"/>
        <v>We borrowed more than we lent this year</v>
      </c>
      <c r="F24" s="8" t="str">
        <f t="shared" si="1"/>
        <v/>
      </c>
      <c r="G24" s="9" t="str">
        <f t="shared" si="2"/>
        <v>1.25 : 1</v>
      </c>
    </row>
    <row r="25" spans="1:7" ht="30" customHeight="1" x14ac:dyDescent="0.25">
      <c r="A25" s="10" t="s">
        <v>52</v>
      </c>
      <c r="B25" s="11">
        <f>January!B25+February!B25+March!B25+April!B25+May!B25+June!B25+July!B25+August!B25+September!B25+October!B25+November!B25+December!B25</f>
        <v>1215</v>
      </c>
      <c r="C25" s="11">
        <f>January!C25+February!C25+March!C25+April!C25+May!C25+June!C25+July!C25+August!C25+September!C25+October!C25+November!C25+December!C25</f>
        <v>2650</v>
      </c>
      <c r="D25" s="11">
        <f>January!D25+February!D25+March!D25+April!D25+May!D25+June!D25+July!D25+August!D25+September!D25+October!D25+November!D25+December!D25</f>
        <v>-1435</v>
      </c>
      <c r="E25" s="12" t="str">
        <f t="shared" si="0"/>
        <v/>
      </c>
      <c r="F25" s="12" t="str">
        <f t="shared" si="1"/>
        <v>We lent more than we borrowed this year</v>
      </c>
      <c r="G25" s="13" t="str">
        <f t="shared" si="2"/>
        <v>0.46 : 1</v>
      </c>
    </row>
    <row r="26" spans="1:7" ht="30" customHeight="1" x14ac:dyDescent="0.25">
      <c r="A26" s="6" t="s">
        <v>54</v>
      </c>
      <c r="B26" s="7">
        <f>January!B26+February!B26+March!B26+April!B26+May!B26+June!B26+July!B26+August!B26+September!B26+October!B26+November!B26+December!B26</f>
        <v>0</v>
      </c>
      <c r="C26" s="7">
        <f>January!C26+February!C26+March!C26+April!C26+May!C26+June!C26+July!C26+August!C26+September!C26+October!C26+November!C26+December!C26</f>
        <v>0</v>
      </c>
      <c r="D26" s="7">
        <f>January!D26+February!D26+March!D26+April!D26+May!D26+June!D26+July!D26+August!D26+September!D26+October!D26+November!D26+December!D26</f>
        <v>0</v>
      </c>
      <c r="E26" s="8" t="str">
        <f t="shared" si="0"/>
        <v/>
      </c>
      <c r="F26" s="8" t="str">
        <f t="shared" si="1"/>
        <v/>
      </c>
      <c r="G26" s="9" t="str">
        <f t="shared" si="2"/>
        <v/>
      </c>
    </row>
    <row r="27" spans="1:7" ht="30" customHeight="1" x14ac:dyDescent="0.25">
      <c r="A27" s="10" t="s">
        <v>55</v>
      </c>
      <c r="B27" s="11">
        <f>January!B27+February!B27+March!B27+April!B27+May!B27+June!B27+July!B27+August!B27+September!B27+October!B27+November!B27+December!B27</f>
        <v>1639</v>
      </c>
      <c r="C27" s="11">
        <f>January!C27+February!C27+March!C27+April!C27+May!C27+June!C27+July!C27+August!C27+September!C27+October!C27+November!C27+December!C27</f>
        <v>1328</v>
      </c>
      <c r="D27" s="11">
        <f>January!D27+February!D27+March!D27+April!D27+May!D27+June!D27+July!D27+August!D27+September!D27+October!D27+November!D27+December!D27</f>
        <v>311</v>
      </c>
      <c r="E27" s="12" t="str">
        <f t="shared" si="0"/>
        <v>We borrowed more than we lent this year</v>
      </c>
      <c r="F27" s="12" t="str">
        <f t="shared" si="1"/>
        <v/>
      </c>
      <c r="G27" s="13" t="str">
        <f t="shared" si="2"/>
        <v>1.23 : 1</v>
      </c>
    </row>
    <row r="28" spans="1:7" ht="30" customHeight="1" x14ac:dyDescent="0.25">
      <c r="A28" s="6" t="s">
        <v>57</v>
      </c>
      <c r="B28" s="7">
        <f>January!B28+February!B28+March!B28+April!B28+May!B28+June!B28+July!B28+August!B28+September!B28+October!B28+November!B28+December!B28</f>
        <v>1235</v>
      </c>
      <c r="C28" s="7">
        <f>January!C28+February!C28+March!C28+April!C28+May!C28+June!C28+July!C28+August!C28+September!C28+October!C28+November!C28+December!C28</f>
        <v>895</v>
      </c>
      <c r="D28" s="7">
        <f>January!D28+February!D28+March!D28+April!D28+May!D28+June!D28+July!D28+August!D28+September!D28+October!D28+November!D28+December!D28</f>
        <v>340</v>
      </c>
      <c r="E28" s="8" t="str">
        <f t="shared" si="0"/>
        <v>We borrowed more than we lent this year</v>
      </c>
      <c r="F28" s="8" t="str">
        <f t="shared" si="1"/>
        <v/>
      </c>
      <c r="G28" s="9" t="str">
        <f t="shared" si="2"/>
        <v>1.38 : 1</v>
      </c>
    </row>
    <row r="29" spans="1:7" ht="30" customHeight="1" x14ac:dyDescent="0.25">
      <c r="A29" s="10" t="s">
        <v>59</v>
      </c>
      <c r="B29" s="11">
        <f>January!B29+February!B29+March!B29+April!B29+May!B29+June!B29+July!B29+August!B29+September!B29+October!B29+November!B29+December!B29</f>
        <v>6567</v>
      </c>
      <c r="C29" s="11">
        <f>January!C29+February!C29+March!C29+April!C29+May!C29+June!C29+July!C29+August!C29+September!C29+October!C29+November!C29+December!C29</f>
        <v>3718</v>
      </c>
      <c r="D29" s="11">
        <f>January!D29+February!D29+March!D29+April!D29+May!D29+June!D29+July!D29+August!D29+September!D29+October!D29+November!D29+December!D29</f>
        <v>2849</v>
      </c>
      <c r="E29" s="12" t="str">
        <f t="shared" si="0"/>
        <v>We borrowed more than we lent this year</v>
      </c>
      <c r="F29" s="12" t="str">
        <f t="shared" si="1"/>
        <v/>
      </c>
      <c r="G29" s="13" t="str">
        <f t="shared" si="2"/>
        <v>1.77 : 1</v>
      </c>
    </row>
    <row r="30" spans="1:7" ht="30" customHeight="1" x14ac:dyDescent="0.25">
      <c r="A30" s="6" t="s">
        <v>61</v>
      </c>
      <c r="B30" s="7">
        <f>January!B30+February!B30+March!B30+April!B30+May!B30+June!B30+July!B30+August!B30+September!B30+October!B30+November!B30+December!B30</f>
        <v>299</v>
      </c>
      <c r="C30" s="7">
        <f>January!C30+February!C30+March!C30+April!C30+May!C30+June!C30+July!C30+August!C30+September!C30+October!C30+November!C30+December!C30</f>
        <v>246</v>
      </c>
      <c r="D30" s="7">
        <f>January!D30+February!D30+March!D30+April!D30+May!D30+June!D30+July!D30+August!D30+September!D30+October!D30+November!D30+December!D30</f>
        <v>53</v>
      </c>
      <c r="E30" s="8" t="str">
        <f t="shared" si="0"/>
        <v>We borrowed more than we lent this year</v>
      </c>
      <c r="F30" s="8" t="str">
        <f t="shared" si="1"/>
        <v/>
      </c>
      <c r="G30" s="9" t="str">
        <f t="shared" si="2"/>
        <v>1.22 : 1</v>
      </c>
    </row>
    <row r="31" spans="1:7" ht="30" customHeight="1" x14ac:dyDescent="0.25">
      <c r="A31" s="10" t="s">
        <v>63</v>
      </c>
      <c r="B31" s="11">
        <f>January!B31+February!B31+March!B31+April!B31+May!B31+June!B31+July!B31+August!B31+September!B31+October!B31+November!B31+December!B31</f>
        <v>844</v>
      </c>
      <c r="C31" s="11">
        <f>January!C31+February!C31+March!C31+April!C31+May!C31+June!C31+July!C31+August!C31+September!C31+October!C31+November!C31+December!C31</f>
        <v>2215</v>
      </c>
      <c r="D31" s="11">
        <f>January!D31+February!D31+March!D31+April!D31+May!D31+June!D31+July!D31+August!D31+September!D31+October!D31+November!D31+December!D31</f>
        <v>-1371</v>
      </c>
      <c r="E31" s="12" t="str">
        <f t="shared" si="0"/>
        <v/>
      </c>
      <c r="F31" s="12" t="str">
        <f t="shared" si="1"/>
        <v>We lent more than we borrowed this year</v>
      </c>
      <c r="G31" s="13" t="str">
        <f t="shared" si="2"/>
        <v>0.38 : 1</v>
      </c>
    </row>
    <row r="32" spans="1:7" ht="30" customHeight="1" x14ac:dyDescent="0.25">
      <c r="A32" s="6" t="s">
        <v>65</v>
      </c>
      <c r="B32" s="7">
        <f>January!B32+February!B32+March!B32+April!B32+May!B32+June!B32+July!B32+August!B32+September!B32+October!B32+November!B32+December!B32</f>
        <v>3264</v>
      </c>
      <c r="C32" s="7">
        <f>January!C32+February!C32+March!C32+April!C32+May!C32+June!C32+July!C32+August!C32+September!C32+October!C32+November!C32+December!C32</f>
        <v>3989</v>
      </c>
      <c r="D32" s="7">
        <f>January!D32+February!D32+March!D32+April!D32+May!D32+June!D32+July!D32+August!D32+September!D32+October!D32+November!D32+December!D32</f>
        <v>-725</v>
      </c>
      <c r="E32" s="8" t="str">
        <f t="shared" si="0"/>
        <v/>
      </c>
      <c r="F32" s="8" t="str">
        <f t="shared" si="1"/>
        <v>We lent more than we borrowed this year</v>
      </c>
      <c r="G32" s="9" t="str">
        <f t="shared" si="2"/>
        <v>0.82 : 1</v>
      </c>
    </row>
    <row r="33" spans="1:7" ht="30" customHeight="1" x14ac:dyDescent="0.25">
      <c r="A33" s="10" t="s">
        <v>67</v>
      </c>
      <c r="B33" s="11">
        <f>January!B33+February!B33+March!B33+April!B33+May!B33+June!B33+July!B33+August!B33+September!B33+October!B33+November!B33+December!B33</f>
        <v>2785</v>
      </c>
      <c r="C33" s="11">
        <f>January!C33+February!C33+March!C33+April!C33+May!C33+June!C33+July!C33+August!C33+September!C33+October!C33+November!C33+December!C33</f>
        <v>2644</v>
      </c>
      <c r="D33" s="11">
        <f>January!D33+February!D33+March!D33+April!D33+May!D33+June!D33+July!D33+August!D33+September!D33+October!D33+November!D33+December!D33</f>
        <v>141</v>
      </c>
      <c r="E33" s="12" t="str">
        <f t="shared" si="0"/>
        <v>We borrowed more than we lent this year</v>
      </c>
      <c r="F33" s="12" t="str">
        <f t="shared" si="1"/>
        <v/>
      </c>
      <c r="G33" s="13" t="str">
        <f t="shared" si="2"/>
        <v>1.05 : 1</v>
      </c>
    </row>
    <row r="34" spans="1:7" ht="30" customHeight="1" x14ac:dyDescent="0.25">
      <c r="A34" s="6" t="s">
        <v>69</v>
      </c>
      <c r="B34" s="7">
        <f>January!B34+February!B34+March!B34+April!B34+May!B34+June!B34+July!B34+August!B34+September!B34+October!B34+November!B34+December!B34</f>
        <v>1375</v>
      </c>
      <c r="C34" s="7">
        <f>January!C34+February!C34+March!C34+April!C34+May!C34+June!C34+July!C34+August!C34+September!C34+October!C34+November!C34+December!C34</f>
        <v>971</v>
      </c>
      <c r="D34" s="7">
        <f>January!D34+February!D34+March!D34+April!D34+May!D34+June!D34+July!D34+August!D34+September!D34+October!D34+November!D34+December!D34</f>
        <v>404</v>
      </c>
      <c r="E34" s="8" t="str">
        <f t="shared" si="0"/>
        <v>We borrowed more than we lent this year</v>
      </c>
      <c r="F34" s="8" t="str">
        <f t="shared" si="1"/>
        <v/>
      </c>
      <c r="G34" s="9" t="str">
        <f t="shared" si="2"/>
        <v>1.42 : 1</v>
      </c>
    </row>
    <row r="35" spans="1:7" ht="30" customHeight="1" x14ac:dyDescent="0.25">
      <c r="A35" s="10" t="s">
        <v>71</v>
      </c>
      <c r="B35" s="11">
        <f>January!B35+February!B35+March!B35+April!B35+May!B35+June!B35+July!B35+August!B35+September!B35+October!B35+November!B35+December!B35</f>
        <v>8164</v>
      </c>
      <c r="C35" s="11">
        <f>January!C35+February!C35+March!C35+April!C35+May!C35+June!C35+July!C35+August!C35+September!C35+October!C35+November!C35+December!C35</f>
        <v>12425</v>
      </c>
      <c r="D35" s="11">
        <f>January!D35+February!D35+March!D35+April!D35+May!D35+June!D35+July!D35+August!D35+September!D35+October!D35+November!D35+December!D35</f>
        <v>-4261</v>
      </c>
      <c r="E35" s="12" t="str">
        <f t="shared" si="0"/>
        <v/>
      </c>
      <c r="F35" s="12" t="str">
        <f t="shared" si="1"/>
        <v>We lent more than we borrowed this year</v>
      </c>
      <c r="G35" s="13" t="str">
        <f t="shared" si="2"/>
        <v>0.66 : 1</v>
      </c>
    </row>
    <row r="36" spans="1:7" ht="30" customHeight="1" x14ac:dyDescent="0.25">
      <c r="A36" s="6" t="s">
        <v>73</v>
      </c>
      <c r="B36" s="7">
        <f>January!B36+February!B36+March!B36+April!B36+May!B36+June!B36+July!B36+August!B36+September!B36+October!B36+November!B36+December!B36</f>
        <v>1376</v>
      </c>
      <c r="C36" s="7">
        <f>January!C36+February!C36+March!C36+April!C36+May!C36+June!C36+July!C36+August!C36+September!C36+October!C36+November!C36+December!C36</f>
        <v>4425</v>
      </c>
      <c r="D36" s="7">
        <f>January!D36+February!D36+March!D36+April!D36+May!D36+June!D36+July!D36+August!D36+September!D36+October!D36+November!D36+December!D36</f>
        <v>-3049</v>
      </c>
      <c r="E36" s="8" t="str">
        <f t="shared" si="0"/>
        <v/>
      </c>
      <c r="F36" s="8" t="str">
        <f t="shared" si="1"/>
        <v>We lent more than we borrowed this year</v>
      </c>
      <c r="G36" s="9" t="str">
        <f t="shared" si="2"/>
        <v>0.31 : 1</v>
      </c>
    </row>
    <row r="37" spans="1:7" ht="30" customHeight="1" x14ac:dyDescent="0.25">
      <c r="A37" s="10" t="s">
        <v>75</v>
      </c>
      <c r="B37" s="11">
        <f>January!B37+February!B37+March!B37+April!B37+May!B37+June!B37+July!B37+August!B37+September!B37+October!B37+November!B37+December!B37</f>
        <v>4651</v>
      </c>
      <c r="C37" s="11">
        <f>January!C37+February!C37+March!C37+April!C37+May!C37+June!C37+July!C37+August!C37+September!C37+October!C37+November!C37+December!C37</f>
        <v>2858</v>
      </c>
      <c r="D37" s="11">
        <f>January!D37+February!D37+March!D37+April!D37+May!D37+June!D37+July!D37+August!D37+September!D37+October!D37+November!D37+December!D37</f>
        <v>1793</v>
      </c>
      <c r="E37" s="12" t="str">
        <f t="shared" si="0"/>
        <v>We borrowed more than we lent this year</v>
      </c>
      <c r="F37" s="12" t="str">
        <f t="shared" si="1"/>
        <v/>
      </c>
      <c r="G37" s="13" t="str">
        <f t="shared" si="2"/>
        <v>1.63 : 1</v>
      </c>
    </row>
    <row r="38" spans="1:7" ht="30" customHeight="1" x14ac:dyDescent="0.25">
      <c r="A38" s="6" t="s">
        <v>77</v>
      </c>
      <c r="B38" s="7">
        <f>January!B38+February!B38+March!B38+April!B38+May!B38+June!B38+July!B38+August!B38+September!B38+October!B38+November!B38+December!B38</f>
        <v>312</v>
      </c>
      <c r="C38" s="7">
        <f>January!C38+February!C38+March!C38+April!C38+May!C38+June!C38+July!C38+August!C38+September!C38+October!C38+November!C38+December!C38</f>
        <v>1673</v>
      </c>
      <c r="D38" s="7">
        <f>January!D38+February!D38+March!D38+April!D38+May!D38+June!D38+July!D38+August!D38+September!D38+October!D38+November!D38+December!D38</f>
        <v>-1361</v>
      </c>
      <c r="E38" s="8" t="str">
        <f t="shared" si="0"/>
        <v/>
      </c>
      <c r="F38" s="8" t="str">
        <f t="shared" si="1"/>
        <v>We lent more than we borrowed this year</v>
      </c>
      <c r="G38" s="9" t="str">
        <f t="shared" si="2"/>
        <v>0.19 : 1</v>
      </c>
    </row>
    <row r="39" spans="1:7" ht="30" customHeight="1" x14ac:dyDescent="0.25">
      <c r="A39" s="10" t="s">
        <v>79</v>
      </c>
      <c r="B39" s="11">
        <f>January!B39+February!B39+March!B39+April!B39+May!B39+June!B39+July!B39+August!B39+September!B39+October!B39+November!B39+December!B39</f>
        <v>79</v>
      </c>
      <c r="C39" s="11">
        <f>January!C39+February!C39+March!C39+April!C39+May!C39+June!C39+July!C39+August!C39+September!C39+October!C39+November!C39+December!C39</f>
        <v>357</v>
      </c>
      <c r="D39" s="11">
        <f>January!D39+February!D39+March!D39+April!D39+May!D39+June!D39+July!D39+August!D39+September!D39+October!D39+November!D39+December!D39</f>
        <v>-278</v>
      </c>
      <c r="E39" s="12" t="str">
        <f t="shared" si="0"/>
        <v/>
      </c>
      <c r="F39" s="12" t="str">
        <f t="shared" si="1"/>
        <v>We lent more than we borrowed this year</v>
      </c>
      <c r="G39" s="13" t="str">
        <f t="shared" si="2"/>
        <v>0.22 : 1</v>
      </c>
    </row>
    <row r="40" spans="1:7" ht="30" customHeight="1" x14ac:dyDescent="0.25">
      <c r="A40" s="22" t="s">
        <v>81</v>
      </c>
      <c r="B40" s="23">
        <f>January!B40+February!B40+March!B40+April!B40+May!B40+June!B40+July!B40+August!B40+September!B40+October!B40+November!B40+December!B40</f>
        <v>450</v>
      </c>
      <c r="C40" s="23">
        <f>January!C40+February!C40+March!C40+April!C40+May!C40+June!C40+July!C40+August!C40+September!C40+October!C40+November!C40+December!C40</f>
        <v>606</v>
      </c>
      <c r="D40" s="23">
        <f>January!D40+February!D40+March!D40+April!D40+May!D40+June!D40+July!D40+August!D40+September!D40+October!D40+November!D40+December!D40</f>
        <v>-156</v>
      </c>
      <c r="E40" s="24" t="str">
        <f t="shared" si="0"/>
        <v/>
      </c>
      <c r="F40" s="24" t="str">
        <f t="shared" si="1"/>
        <v>We lent more than we borrowed this year</v>
      </c>
      <c r="G40" s="25" t="str">
        <f t="shared" si="2"/>
        <v>0.74 : 1</v>
      </c>
    </row>
    <row r="41" spans="1:7" ht="30" customHeight="1" x14ac:dyDescent="0.25">
      <c r="A41" s="26" t="s">
        <v>83</v>
      </c>
      <c r="B41" s="27">
        <f>January!B41+February!B41+March!B41+April!B41+May!B41+June!B41+July!B41+August!B41+September!B41+October!B41+November!B41+December!B41</f>
        <v>32</v>
      </c>
      <c r="C41" s="27">
        <f>January!C41+February!C41+March!C41+April!C41+May!C41+June!C41+July!C41+August!C41+September!C41+October!C41+November!C41+December!C41</f>
        <v>115</v>
      </c>
      <c r="D41" s="27">
        <f>January!D41+February!D41+March!D41+April!D41+May!D41+June!D41+July!D41+August!D41+September!D41+October!D41+November!D41+December!D41</f>
        <v>-83</v>
      </c>
      <c r="E41" s="28" t="str">
        <f t="shared" si="0"/>
        <v/>
      </c>
      <c r="F41" s="28" t="str">
        <f t="shared" si="1"/>
        <v>We lent more than we borrowed this year</v>
      </c>
      <c r="G41" s="29" t="str">
        <f t="shared" si="2"/>
        <v>0.28 : 1</v>
      </c>
    </row>
    <row r="42" spans="1:7" ht="30" customHeight="1" x14ac:dyDescent="0.25">
      <c r="A42" s="22" t="s">
        <v>85</v>
      </c>
      <c r="B42" s="23">
        <f>January!B42+February!B42+March!B42+April!B42+May!B42+June!B42+July!B42+August!B42+September!B42+October!B42+November!B42+December!B42</f>
        <v>56</v>
      </c>
      <c r="C42" s="23">
        <f>January!C42+February!C42+March!C42+April!C42+May!C42+June!C42+July!C42+August!C42+September!C42+October!C42+November!C42+December!C42</f>
        <v>147</v>
      </c>
      <c r="D42" s="23">
        <f>January!D42+February!D42+March!D42+April!D42+May!D42+June!D42+July!D42+August!D42+September!D42+October!D42+November!D42+December!D42</f>
        <v>-91</v>
      </c>
      <c r="E42" s="24" t="str">
        <f t="shared" si="0"/>
        <v/>
      </c>
      <c r="F42" s="24" t="str">
        <f t="shared" si="1"/>
        <v>We lent more than we borrowed this year</v>
      </c>
      <c r="G42" s="25" t="str">
        <f t="shared" si="2"/>
        <v>0.38 : 1</v>
      </c>
    </row>
    <row r="43" spans="1:7" ht="30" customHeight="1" x14ac:dyDescent="0.25">
      <c r="A43" s="26" t="s">
        <v>87</v>
      </c>
      <c r="B43" s="27">
        <f>January!B43+February!B43+March!B43+April!B43+May!B43+June!B43+July!B43+August!B43+September!B43+October!B43+November!B43+December!B43</f>
        <v>1022</v>
      </c>
      <c r="C43" s="27">
        <f>January!C43+February!C43+March!C43+April!C43+May!C43+June!C43+July!C43+August!C43+September!C43+October!C43+November!C43+December!C43</f>
        <v>762</v>
      </c>
      <c r="D43" s="27">
        <f>January!D43+February!D43+March!D43+April!D43+May!D43+June!D43+July!D43+August!D43+September!D43+October!D43+November!D43+December!D43</f>
        <v>260</v>
      </c>
      <c r="E43" s="28" t="str">
        <f t="shared" si="0"/>
        <v>We borrowed more than we lent this year</v>
      </c>
      <c r="F43" s="28" t="str">
        <f t="shared" si="1"/>
        <v/>
      </c>
      <c r="G43" s="29" t="str">
        <f t="shared" si="2"/>
        <v>1.34 : 1</v>
      </c>
    </row>
    <row r="44" spans="1:7" ht="30" customHeight="1" x14ac:dyDescent="0.25">
      <c r="A44" s="6" t="s">
        <v>89</v>
      </c>
      <c r="B44" s="7">
        <f>January!B44+February!B44+March!B44+April!B44+May!B44+June!B44+July!B44+August!B44+September!B44+October!B44+November!B44+December!B44</f>
        <v>496</v>
      </c>
      <c r="C44" s="7">
        <f>January!C44+February!C44+March!C44+April!C44+May!C44+June!C44+July!C44+August!C44+September!C44+October!C44+November!C44+December!C44</f>
        <v>1415</v>
      </c>
      <c r="D44" s="7">
        <f>January!D44+February!D44+March!D44+April!D44+May!D44+June!D44+July!D44+August!D44+September!D44+October!D44+November!D44+December!D44</f>
        <v>-919</v>
      </c>
      <c r="E44" s="8" t="str">
        <f t="shared" si="0"/>
        <v/>
      </c>
      <c r="F44" s="8" t="str">
        <f t="shared" si="1"/>
        <v>We lent more than we borrowed this year</v>
      </c>
      <c r="G44" s="9" t="str">
        <f t="shared" si="2"/>
        <v>0.35 : 1</v>
      </c>
    </row>
    <row r="45" spans="1:7" ht="30" customHeight="1" x14ac:dyDescent="0.25">
      <c r="A45" s="10" t="s">
        <v>91</v>
      </c>
      <c r="B45" s="11">
        <f>January!B45+February!B45+March!B45+April!B45+May!B45+June!B45+July!B45+August!B45+September!B45+October!B45+November!B45+December!B45</f>
        <v>4188</v>
      </c>
      <c r="C45" s="11">
        <f>January!C45+February!C45+March!C45+April!C45+May!C45+June!C45+July!C45+August!C45+September!C45+October!C45+November!C45+December!C45</f>
        <v>4693</v>
      </c>
      <c r="D45" s="11">
        <f>January!D45+February!D45+March!D45+April!D45+May!D45+June!D45+July!D45+August!D45+September!D45+October!D45+November!D45+December!D45</f>
        <v>-505</v>
      </c>
      <c r="E45" s="12" t="str">
        <f t="shared" si="0"/>
        <v/>
      </c>
      <c r="F45" s="12" t="str">
        <f t="shared" si="1"/>
        <v>We lent more than we borrowed this year</v>
      </c>
      <c r="G45" s="13" t="str">
        <f t="shared" si="2"/>
        <v>0.89 : 1</v>
      </c>
    </row>
    <row r="46" spans="1:7" ht="30" customHeight="1" x14ac:dyDescent="0.25">
      <c r="A46" s="6" t="s">
        <v>92</v>
      </c>
      <c r="B46" s="7">
        <f>January!B46+February!B46+March!B46+April!B46+May!B46+June!B46+July!B46+August!B46+September!B46+October!B46+November!B46+December!B46</f>
        <v>6794</v>
      </c>
      <c r="C46" s="7">
        <f>January!C46+February!C46+March!C46+April!C46+May!C46+June!C46+July!C46+August!C46+September!C46+October!C46+November!C46+December!C46</f>
        <v>5450</v>
      </c>
      <c r="D46" s="7">
        <f>January!D46+February!D46+March!D46+April!D46+May!D46+June!D46+July!D46+August!D46+September!D46+October!D46+November!D46+December!D46</f>
        <v>1344</v>
      </c>
      <c r="E46" s="8" t="str">
        <f t="shared" si="0"/>
        <v>We borrowed more than we lent this year</v>
      </c>
      <c r="F46" s="8" t="str">
        <f t="shared" si="1"/>
        <v/>
      </c>
      <c r="G46" s="9" t="str">
        <f t="shared" si="2"/>
        <v>1.25 : 1</v>
      </c>
    </row>
    <row r="47" spans="1:7" ht="30" customHeight="1" x14ac:dyDescent="0.25">
      <c r="A47" s="10" t="s">
        <v>94</v>
      </c>
      <c r="B47" s="11">
        <f>January!B47+February!B47+March!B47+April!B47+May!B47+June!B47+July!B47+August!B47+September!B47+October!B47+November!B47+December!B47</f>
        <v>1802</v>
      </c>
      <c r="C47" s="11">
        <f>January!C47+February!C47+March!C47+April!C47+May!C47+June!C47+July!C47+August!C47+September!C47+October!C47+November!C47+December!C47</f>
        <v>4550</v>
      </c>
      <c r="D47" s="11">
        <f>January!D47+February!D47+March!D47+April!D47+May!D47+June!D47+July!D47+August!D47+September!D47+October!D47+November!D47+December!D47</f>
        <v>-2748</v>
      </c>
      <c r="E47" s="12" t="str">
        <f t="shared" si="0"/>
        <v/>
      </c>
      <c r="F47" s="12" t="str">
        <f t="shared" si="1"/>
        <v>We lent more than we borrowed this year</v>
      </c>
      <c r="G47" s="13" t="str">
        <f t="shared" si="2"/>
        <v>0.4 : 1</v>
      </c>
    </row>
    <row r="48" spans="1:7" ht="30" customHeight="1" x14ac:dyDescent="0.25">
      <c r="A48" s="6" t="s">
        <v>95</v>
      </c>
      <c r="B48" s="7">
        <f>January!B48+February!B48+March!B48+April!B48+May!B48+June!B48+July!B48+August!B48+September!B48+October!B48+November!B48+December!B48</f>
        <v>3102</v>
      </c>
      <c r="C48" s="7">
        <f>January!C48+February!C48+March!C48+April!C48+May!C48+June!C48+July!C48+August!C48+September!C48+October!C48+November!C48+December!C48</f>
        <v>1814</v>
      </c>
      <c r="D48" s="7">
        <f>January!D48+February!D48+March!D48+April!D48+May!D48+June!D48+July!D48+August!D48+September!D48+October!D48+November!D48+December!D48</f>
        <v>1288</v>
      </c>
      <c r="E48" s="8" t="str">
        <f t="shared" si="0"/>
        <v>We borrowed more than we lent this year</v>
      </c>
      <c r="F48" s="8" t="str">
        <f t="shared" si="1"/>
        <v/>
      </c>
      <c r="G48" s="9" t="str">
        <f t="shared" si="2"/>
        <v>1.71 : 1</v>
      </c>
    </row>
    <row r="49" spans="1:7" ht="30" customHeight="1" x14ac:dyDescent="0.25">
      <c r="A49" s="10" t="s">
        <v>97</v>
      </c>
      <c r="B49" s="11">
        <f>January!B49+February!B49+March!B49+April!B49+May!B49+June!B49+July!B49+August!B49+September!B49+October!B49+November!B49+December!B49</f>
        <v>7616</v>
      </c>
      <c r="C49" s="11">
        <f>January!C49+February!C49+March!C49+April!C49+May!C49+June!C49+July!C49+August!C49+September!C49+October!C49+November!C49+December!C49</f>
        <v>4383</v>
      </c>
      <c r="D49" s="11">
        <f>January!D49+February!D49+March!D49+April!D49+May!D49+June!D49+July!D49+August!D49+September!D49+October!D49+November!D49+December!D49</f>
        <v>3233</v>
      </c>
      <c r="E49" s="12" t="str">
        <f t="shared" si="0"/>
        <v>We borrowed more than we lent this year</v>
      </c>
      <c r="F49" s="12" t="str">
        <f t="shared" si="1"/>
        <v/>
      </c>
      <c r="G49" s="13" t="str">
        <f t="shared" si="2"/>
        <v>1.74 : 1</v>
      </c>
    </row>
    <row r="50" spans="1:7" ht="30" customHeight="1" x14ac:dyDescent="0.25">
      <c r="A50" s="6" t="s">
        <v>99</v>
      </c>
      <c r="B50" s="7">
        <f>January!B50+February!B50+March!B50+April!B50+May!B50+June!B50+July!B50+August!B50+September!B50+October!B50+November!B50+December!B50</f>
        <v>922</v>
      </c>
      <c r="C50" s="7">
        <f>January!C50+February!C50+March!C50+April!C50+May!C50+June!C50+July!C50+August!C50+September!C50+October!C50+November!C50+December!C50</f>
        <v>1253</v>
      </c>
      <c r="D50" s="7">
        <f>January!D50+February!D50+March!D50+April!D50+May!D50+June!D50+July!D50+August!D50+September!D50+October!D50+November!D50+December!D50</f>
        <v>-331</v>
      </c>
      <c r="E50" s="8" t="str">
        <f t="shared" si="0"/>
        <v/>
      </c>
      <c r="F50" s="8" t="str">
        <f t="shared" si="1"/>
        <v>We lent more than we borrowed this year</v>
      </c>
      <c r="G50" s="9" t="str">
        <f t="shared" si="2"/>
        <v>0.74 : 1</v>
      </c>
    </row>
    <row r="51" spans="1:7" ht="30" customHeight="1" x14ac:dyDescent="0.25">
      <c r="A51" s="10" t="s">
        <v>101</v>
      </c>
      <c r="B51" s="11">
        <f>January!B51+February!B51+March!B51+April!B51+May!B51+June!B51+July!B51+August!B51+September!B51+October!B51+November!B51+December!B51</f>
        <v>3369</v>
      </c>
      <c r="C51" s="11">
        <f>January!C51+February!C51+March!C51+April!C51+May!C51+June!C51+July!C51+August!C51+September!C51+October!C51+November!C51+December!C51</f>
        <v>2914</v>
      </c>
      <c r="D51" s="11">
        <f>January!D51+February!D51+March!D51+April!D51+May!D51+June!D51+July!D51+August!D51+September!D51+October!D51+November!D51+December!D51</f>
        <v>455</v>
      </c>
      <c r="E51" s="12" t="str">
        <f t="shared" si="0"/>
        <v>We borrowed more than we lent this year</v>
      </c>
      <c r="F51" s="12" t="str">
        <f t="shared" si="1"/>
        <v/>
      </c>
      <c r="G51" s="13" t="str">
        <f t="shared" si="2"/>
        <v>1.16 : 1</v>
      </c>
    </row>
    <row r="52" spans="1:7" ht="30" customHeight="1" x14ac:dyDescent="0.25">
      <c r="A52" s="6" t="s">
        <v>103</v>
      </c>
      <c r="B52" s="7">
        <f>January!B52+February!B52+March!B52+April!B52+May!B52+June!B52+July!B52+August!B52+September!B52+October!B52+November!B52+December!B52</f>
        <v>754</v>
      </c>
      <c r="C52" s="7">
        <f>January!C52+February!C52+March!C52+April!C52+May!C52+June!C52+July!C52+August!C52+September!C52+October!C52+November!C52+December!C52</f>
        <v>1689</v>
      </c>
      <c r="D52" s="7">
        <f>January!D52+February!D52+March!D52+April!D52+May!D52+June!D52+July!D52+August!D52+September!D52+October!D52+November!D52+December!D52</f>
        <v>-935</v>
      </c>
      <c r="E52" s="8" t="str">
        <f t="shared" si="0"/>
        <v/>
      </c>
      <c r="F52" s="8" t="str">
        <f t="shared" si="1"/>
        <v>We lent more than we borrowed this year</v>
      </c>
      <c r="G52" s="9" t="str">
        <f t="shared" si="2"/>
        <v>0.45 : 1</v>
      </c>
    </row>
    <row r="53" spans="1:7" ht="30" customHeight="1" x14ac:dyDescent="0.25">
      <c r="A53" s="10" t="s">
        <v>105</v>
      </c>
      <c r="B53" s="11">
        <f>January!B53+February!B53+March!B53+April!B53+May!B53+June!B53+July!B53+August!B53+September!B53+October!B53+November!B53+December!B53</f>
        <v>242</v>
      </c>
      <c r="C53" s="11">
        <f>January!C53+February!C53+March!C53+April!C53+May!C53+June!C53+July!C53+August!C53+September!C53+October!C53+November!C53+December!C53</f>
        <v>1953</v>
      </c>
      <c r="D53" s="11">
        <f>January!D53+February!D53+March!D53+April!D53+May!D53+June!D53+July!D53+August!D53+September!D53+October!D53+November!D53+December!D53</f>
        <v>-1711</v>
      </c>
      <c r="E53" s="12" t="str">
        <f t="shared" si="0"/>
        <v/>
      </c>
      <c r="F53" s="12" t="str">
        <f t="shared" si="1"/>
        <v>We lent more than we borrowed this year</v>
      </c>
      <c r="G53" s="13" t="str">
        <f t="shared" si="2"/>
        <v>0.12 : 1</v>
      </c>
    </row>
    <row r="54" spans="1:7" ht="30" customHeight="1" x14ac:dyDescent="0.25">
      <c r="A54" s="30" t="s">
        <v>107</v>
      </c>
      <c r="B54" s="31">
        <f>January!B54+February!B54+March!B54+April!B54+May!B54+June!B54+July!B54+August!B54+September!B54+October!B54+November!B54+December!B54</f>
        <v>3069</v>
      </c>
      <c r="C54" s="31">
        <f>January!C54+February!C54+March!C54+April!C54+May!C54+June!C54+July!C54+August!C54+September!C54+October!C54+November!C54+December!C54</f>
        <v>1711</v>
      </c>
      <c r="D54" s="31">
        <f>January!D54+February!D54+March!D54+April!D54+May!D54+June!D54+July!D54+August!D54+September!D54+October!D54+November!D54+December!D54</f>
        <v>1358</v>
      </c>
      <c r="E54" s="32" t="str">
        <f t="shared" si="0"/>
        <v>We borrowed more than we lent this year</v>
      </c>
      <c r="F54" s="32" t="str">
        <f t="shared" si="1"/>
        <v/>
      </c>
      <c r="G54" s="33" t="str">
        <f t="shared" si="2"/>
        <v>1.79 : 1</v>
      </c>
    </row>
  </sheetData>
  <autoFilter ref="A1:G54" xr:uid="{00000000-0009-0000-0000-00000C000000}"/>
  <conditionalFormatting sqref="F2:F37 F40:F54">
    <cfRule type="containsText" dxfId="4" priority="7" operator="containsText" text="We lent more than we borrowed">
      <formula>NOT(ISERROR(SEARCH("We lent more than we borrowed",F2)))</formula>
    </cfRule>
  </conditionalFormatting>
  <conditionalFormatting sqref="F38">
    <cfRule type="containsText" dxfId="3" priority="5" operator="containsText" text="We lent more than we borrowed">
      <formula>NOT(ISERROR(SEARCH("We lent more than we borrowed",F38)))</formula>
    </cfRule>
  </conditionalFormatting>
  <conditionalFormatting sqref="F39">
    <cfRule type="containsText" dxfId="2" priority="3" operator="containsText" text="We lent more than we borrowed">
      <formula>NOT(ISERROR(SEARCH("We lent more than we borrowed",F39)))</formula>
    </cfRule>
  </conditionalFormatting>
  <conditionalFormatting sqref="E2:E41 E43:E54">
    <cfRule type="containsText" dxfId="1" priority="2" operator="containsText" text="We borrowed">
      <formula>NOT(ISERROR(SEARCH("We borrowed",E2)))</formula>
    </cfRule>
  </conditionalFormatting>
  <conditionalFormatting sqref="E42">
    <cfRule type="containsText" dxfId="0" priority="1" operator="containsText" text="We borrowed">
      <formula>NOT(ISERROR(SEARCH("We borrowed",E42)))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Yearly 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</dc:creator>
  <cp:lastModifiedBy>George</cp:lastModifiedBy>
  <dcterms:created xsi:type="dcterms:W3CDTF">2026-02-06T20:08:06Z</dcterms:created>
  <dcterms:modified xsi:type="dcterms:W3CDTF">2026-09-11T21:52:06Z</dcterms:modified>
</cp:coreProperties>
</file>