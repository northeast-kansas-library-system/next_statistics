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40009_{393B4ABC-61E5-418D-A5DD-2FF5F3BE7DC9}" xr6:coauthVersionLast="47" xr6:coauthVersionMax="47" xr10:uidLastSave="{00000000-0000-0000-0000-000000000000}"/>
  <bookViews>
    <workbookView xWindow="28680" yWindow="-120" windowWidth="29040" windowHeight="15720" tabRatio="868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Totals'!$A$1:$G$54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4" i="13" l="1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F54" i="13"/>
  <c r="F53" i="13"/>
  <c r="F52" i="13"/>
  <c r="F51" i="13"/>
  <c r="F50" i="13"/>
  <c r="F49" i="13"/>
  <c r="F48" i="13"/>
  <c r="F47" i="13"/>
  <c r="F46" i="13"/>
  <c r="F45" i="13"/>
  <c r="F44" i="13"/>
  <c r="F43" i="13"/>
  <c r="F42" i="13"/>
  <c r="F41" i="13"/>
  <c r="F40" i="13"/>
  <c r="F39" i="13"/>
  <c r="F38" i="13"/>
  <c r="F37" i="13"/>
  <c r="F36" i="13"/>
  <c r="F35" i="13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D54" i="13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</calcChain>
</file>

<file path=xl/sharedStrings.xml><?xml version="1.0" encoding="utf-8"?>
<sst xmlns="http://schemas.openxmlformats.org/spreadsheetml/2006/main" count="882" uniqueCount="109">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</sst>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4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" sqref="E2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/>
  <conditionalFormatting sqref="E2">
    <cfRule type="expression" dxfId="92" priority="7">
      <formula>"D2&gt;0"</formula>
    </cfRule>
  </conditionalFormatting>
  <conditionalFormatting sqref="E2:E37 E40:E54">
    <cfRule type="containsText" dxfId="9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0" priority="5" operator="containsText" text="We lent more than we borrowed">
      <formula>NOT(ISERROR(SEARCH("We lent more than we borrowed",F2)))</formula>
    </cfRule>
  </conditionalFormatting>
  <conditionalFormatting sqref="E38">
    <cfRule type="containsText" dxfId="8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8" priority="3" operator="containsText" text="We lent more than we borrowed">
      <formula>NOT(ISERROR(SEARCH("We lent more than we borrowed",F38)))</formula>
    </cfRule>
  </conditionalFormatting>
  <conditionalFormatting sqref="E39">
    <cfRule type="containsText" dxfId="8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85" priority="7">
      <formula>"D2&gt;0"</formula>
    </cfRule>
  </conditionalFormatting>
  <conditionalFormatting sqref="E2:E37 E40:E54">
    <cfRule type="containsText" dxfId="8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3" priority="5" operator="containsText" text="We lent more than we borrowed">
      <formula>NOT(ISERROR(SEARCH("We lent more than we borrowed",F2)))</formula>
    </cfRule>
  </conditionalFormatting>
  <conditionalFormatting sqref="E38">
    <cfRule type="containsText" dxfId="8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1" priority="3" operator="containsText" text="We lent more than we borrowed">
      <formula>NOT(ISERROR(SEARCH("We lent more than we borrowed",F38)))</formula>
    </cfRule>
  </conditionalFormatting>
  <conditionalFormatting sqref="E39">
    <cfRule type="containsText" dxfId="8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78" priority="7">
      <formula>"D2&gt;0"</formula>
    </cfRule>
  </conditionalFormatting>
  <conditionalFormatting sqref="E2:E37 E40:E54">
    <cfRule type="containsText" dxfId="7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6" priority="5" operator="containsText" text="We lent more than we borrowed">
      <formula>NOT(ISERROR(SEARCH("We lent more than we borrowed",F2)))</formula>
    </cfRule>
  </conditionalFormatting>
  <conditionalFormatting sqref="E38">
    <cfRule type="containsText" dxfId="7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4" priority="3" operator="containsText" text="We lent more than we borrowed">
      <formula>NOT(ISERROR(SEARCH("We lent more than we borrowed",F38)))</formula>
    </cfRule>
  </conditionalFormatting>
  <conditionalFormatting sqref="E39">
    <cfRule type="containsText" dxfId="7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71" priority="7">
      <formula>"D2&gt;0"</formula>
    </cfRule>
  </conditionalFormatting>
  <conditionalFormatting sqref="E2:E37 E40:E54">
    <cfRule type="containsText" dxfId="7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9" priority="5" operator="containsText" text="We lent more than we borrowed">
      <formula>NOT(ISERROR(SEARCH("We lent more than we borrowed",F2)))</formula>
    </cfRule>
  </conditionalFormatting>
  <conditionalFormatting sqref="E38">
    <cfRule type="containsText" dxfId="6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64" priority="7">
      <formula>"D2&gt;0"</formula>
    </cfRule>
  </conditionalFormatting>
  <conditionalFormatting sqref="E2:E37 E40:E54">
    <cfRule type="containsText" dxfId="6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2" priority="5" operator="containsText" text="We lent more than we borrowed">
      <formula>NOT(ISERROR(SEARCH("We lent more than we borrowed",F2)))</formula>
    </cfRule>
  </conditionalFormatting>
  <conditionalFormatting sqref="E38">
    <cfRule type="containsText" dxfId="6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0" priority="3" operator="containsText" text="We lent more than we borrowed">
      <formula>NOT(ISERROR(SEARCH("We lent more than we borrowed",F38)))</formula>
    </cfRule>
  </conditionalFormatting>
  <conditionalFormatting sqref="E39">
    <cfRule type="containsText" dxfId="5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57" priority="7">
      <formula>"D2&gt;0"</formula>
    </cfRule>
  </conditionalFormatting>
  <conditionalFormatting sqref="E2:E37 E40:E54">
    <cfRule type="containsText" dxfId="5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5" priority="5" operator="containsText" text="We lent more than we borrowed">
      <formula>NOT(ISERROR(SEARCH("We lent more than we borrowed",F2)))</formula>
    </cfRule>
  </conditionalFormatting>
  <conditionalFormatting sqref="E38">
    <cfRule type="containsText" dxfId="5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3" priority="3" operator="containsText" text="We lent more than we borrowed">
      <formula>NOT(ISERROR(SEARCH("We lent more than we borrowed",F38)))</formula>
    </cfRule>
  </conditionalFormatting>
  <conditionalFormatting sqref="E39">
    <cfRule type="containsText" dxfId="5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50" priority="7">
      <formula>"D2&gt;0"</formula>
    </cfRule>
  </conditionalFormatting>
  <conditionalFormatting sqref="E2:E37 E40:E54">
    <cfRule type="containsText" dxfId="4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8" priority="5" operator="containsText" text="We lent more than we borrowed">
      <formula>NOT(ISERROR(SEARCH("We lent more than we borrowed",F2)))</formula>
    </cfRule>
  </conditionalFormatting>
  <conditionalFormatting sqref="E38">
    <cfRule type="containsText" dxfId="4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6" priority="3" operator="containsText" text="We lent more than we borrowed">
      <formula>NOT(ISERROR(SEARCH("We lent more than we borrowed",F38)))</formula>
    </cfRule>
  </conditionalFormatting>
  <conditionalFormatting sqref="E39">
    <cfRule type="containsText" dxfId="4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43" priority="7">
      <formula>"D2&gt;0"</formula>
    </cfRule>
  </conditionalFormatting>
  <conditionalFormatting sqref="E2:E37 E40:E54">
    <cfRule type="containsText" dxfId="4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1" priority="5" operator="containsText" text="We lent more than we borrowed">
      <formula>NOT(ISERROR(SEARCH("We lent more than we borrowed",F2)))</formula>
    </cfRule>
  </conditionalFormatting>
  <conditionalFormatting sqref="E38">
    <cfRule type="containsText" dxfId="4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9" priority="3" operator="containsText" text="We lent more than we borrowed">
      <formula>NOT(ISERROR(SEARCH("We lent more than we borrowed",F38)))</formula>
    </cfRule>
  </conditionalFormatting>
  <conditionalFormatting sqref="E39">
    <cfRule type="containsText" dxfId="3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36" priority="7">
      <formula>"D2&gt;0"</formula>
    </cfRule>
  </conditionalFormatting>
  <conditionalFormatting sqref="E2:E37 E40:E54">
    <cfRule type="containsText" dxfId="3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4" priority="5" operator="containsText" text="We lent more than we borrowed">
      <formula>NOT(ISERROR(SEARCH("We lent more than we borrowed",F2)))</formula>
    </cfRule>
  </conditionalFormatting>
  <conditionalFormatting sqref="E38">
    <cfRule type="containsText" dxfId="3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2" priority="3" operator="containsText" text="We lent more than we borrowed">
      <formula>NOT(ISERROR(SEARCH("We lent more than we borrowed",F38)))</formula>
    </cfRule>
  </conditionalFormatting>
  <conditionalFormatting sqref="E39">
    <cfRule type="containsText" dxfId="3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29" priority="7">
      <formula>"D2&gt;0"</formula>
    </cfRule>
  </conditionalFormatting>
  <conditionalFormatting sqref="E2:E37 E40:E54">
    <cfRule type="containsText" dxfId="2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7" priority="5" operator="containsText" text="We lent more than we borrowed">
      <formula>NOT(ISERROR(SEARCH("We lent more than we borrowed",F2)))</formula>
    </cfRule>
  </conditionalFormatting>
  <conditionalFormatting sqref="E38">
    <cfRule type="containsText" dxfId="2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5" priority="3" operator="containsText" text="We lent more than we borrowed">
      <formula>NOT(ISERROR(SEARCH("We lent more than we borrowed",F38)))</formula>
    </cfRule>
  </conditionalFormatting>
  <conditionalFormatting sqref="E39">
    <cfRule type="containsText" dxfId="2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22" priority="7">
      <formula>"D2&gt;0"</formula>
    </cfRule>
  </conditionalFormatting>
  <conditionalFormatting sqref="E2:E37 E40:E54">
    <cfRule type="containsText" dxfId="2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0" priority="5" operator="containsText" text="We lent more than we borrowed">
      <formula>NOT(ISERROR(SEARCH("We lent more than we borrowed",F2)))</formula>
    </cfRule>
  </conditionalFormatting>
  <conditionalFormatting sqref="E38">
    <cfRule type="containsText" dxfId="1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8" priority="3" operator="containsText" text="We lent more than we borrowed">
      <formula>NOT(ISERROR(SEARCH("We lent more than we borrowed",F38)))</formula>
    </cfRule>
  </conditionalFormatting>
  <conditionalFormatting sqref="E39">
    <cfRule type="containsText" dxfId="1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/>
  <conditionalFormatting sqref="E2">
    <cfRule type="expression" dxfId="15" priority="7">
      <formula>"D2&gt;0"</formula>
    </cfRule>
  </conditionalFormatting>
  <conditionalFormatting sqref="E2:E37 E40:E54">
    <cfRule type="containsText" dxfId="1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3" priority="5" operator="containsText" text="We lent more than we borrowed">
      <formula>NOT(ISERROR(SEARCH("We lent more than we borrowed",F2)))</formula>
    </cfRule>
  </conditionalFormatting>
  <conditionalFormatting sqref="E38">
    <cfRule type="containsText" dxfId="1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1" priority="3" operator="containsText" text="We lent more than we borrowed">
      <formula>NOT(ISERROR(SEARCH("We lent more than we borrowed",F38)))</formula>
    </cfRule>
  </conditionalFormatting>
  <conditionalFormatting sqref="E39">
    <cfRule type="containsText" dxfId="1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D49" sqref="D49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1441</v>
      </c>
      <c r="C2" s="7">
        <f>January!C2+February!C2+March!C2+April!C2+May!C2+June!C2+July!C2+August!C2+September!C2+October!C2+November!C2+December!C2</f>
        <v>1299</v>
      </c>
      <c r="D2" s="7">
        <f>January!D2+February!D2+March!D2+April!D2+May!D2+June!D2+July!D2+August!D2+September!D2+October!D2+November!D2+December!D2</f>
        <v>142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1.11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671</v>
      </c>
      <c r="C3" s="11">
        <f>January!C3+February!C3+March!C3+April!C3+May!C3+June!C3+July!C3+August!C3+September!C3+October!C3+November!C3+December!C3</f>
        <v>419</v>
      </c>
      <c r="D3" s="11">
        <f>January!D3+February!D3+March!D3+April!D3+May!D3+June!D3+July!D3+August!D3+September!D3+October!D3+November!D3+December!D3</f>
        <v>252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1.6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1369</v>
      </c>
      <c r="C4" s="7">
        <f>January!C4+February!C4+March!C4+April!C4+May!C4+June!C4+July!C4+August!C4+September!C4+October!C4+November!C4+December!C4</f>
        <v>1352</v>
      </c>
      <c r="D4" s="7">
        <f>January!D4+February!D4+March!D4+April!D4+May!D4+June!D4+July!D4+August!D4+September!D4+October!D4+November!D4+December!D4</f>
        <v>17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1.01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28</v>
      </c>
      <c r="C5" s="11">
        <f>January!C5+February!C5+March!C5+April!C5+May!C5+June!C5+July!C5+August!C5+September!C5+October!C5+November!C5+December!C5</f>
        <v>143</v>
      </c>
      <c r="D5" s="11">
        <f>January!D5+February!D5+March!D5+April!D5+May!D5+June!D5+July!D5+August!D5+September!D5+October!D5+November!D5+December!D5</f>
        <v>-115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0.2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1162</v>
      </c>
      <c r="C6" s="7">
        <f>January!C6+February!C6+March!C6+April!C6+May!C6+June!C6+July!C6+August!C6+September!C6+October!C6+November!C6+December!C6</f>
        <v>1131</v>
      </c>
      <c r="D6" s="7">
        <f>January!D6+February!D6+March!D6+April!D6+May!D6+June!D6+July!D6+August!D6+September!D6+October!D6+November!D6+December!D6</f>
        <v>31</v>
      </c>
      <c r="E6" s="8" t="str">
        <f t="shared" si="0"/>
        <v>We borrowed more than we lent this year</v>
      </c>
      <c r="F6" s="8" t="str">
        <f t="shared" si="1"/>
        <v/>
      </c>
      <c r="G6" s="9" t="str">
        <f t="shared" si="2"/>
        <v>1.03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217</v>
      </c>
      <c r="C7" s="11">
        <f>January!C7+February!C7+March!C7+April!C7+May!C7+June!C7+July!C7+August!C7+September!C7+October!C7+November!C7+December!C7</f>
        <v>180</v>
      </c>
      <c r="D7" s="11">
        <f>January!D7+February!D7+March!D7+April!D7+May!D7+June!D7+July!D7+August!D7+September!D7+October!D7+November!D7+December!D7</f>
        <v>37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1.21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111</v>
      </c>
      <c r="C8" s="7">
        <f>January!C8+February!C8+March!C8+April!C8+May!C8+June!C8+July!C8+August!C8+September!C8+October!C8+November!C8+December!C8</f>
        <v>171</v>
      </c>
      <c r="D8" s="7">
        <f>January!D8+February!D8+March!D8+April!D8+May!D8+June!D8+July!D8+August!D8+September!D8+October!D8+November!D8+December!D8</f>
        <v>-60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0.65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73</v>
      </c>
      <c r="C9" s="11">
        <f>January!C9+February!C9+March!C9+April!C9+May!C9+June!C9+July!C9+August!C9+September!C9+October!C9+November!C9+December!C9</f>
        <v>66</v>
      </c>
      <c r="D9" s="11">
        <f>January!D9+February!D9+March!D9+April!D9+May!D9+June!D9+July!D9+August!D9+September!D9+October!D9+November!D9+December!D9</f>
        <v>7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1.11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0</v>
      </c>
      <c r="C10" s="7">
        <f>January!C10+February!C10+March!C10+April!C10+May!C10+June!C10+July!C10+August!C10+September!C10+October!C10+November!C10+December!C10</f>
        <v>19</v>
      </c>
      <c r="D10" s="7">
        <f>January!D10+February!D10+March!D10+April!D10+May!D10+June!D10+July!D10+August!D10+September!D10+October!D10+November!D10+December!D10</f>
        <v>-19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7</v>
      </c>
      <c r="C12" s="15">
        <f>January!C12+February!C12+March!C12+April!C12+May!C12+June!C12+July!C12+August!C12+September!C12+October!C12+November!C12+December!C12</f>
        <v>22</v>
      </c>
      <c r="D12" s="15">
        <f>January!D12+February!D12+March!D12+April!D12+May!D12+June!D12+July!D12+August!D12+September!D12+October!D12+November!D12+December!D12</f>
        <v>-15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0.32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42</v>
      </c>
      <c r="C13" s="19">
        <f>January!C13+February!C13+March!C13+April!C13+May!C13+June!C13+July!C13+August!C13+September!C13+October!C13+November!C13+December!C13</f>
        <v>54</v>
      </c>
      <c r="D13" s="19">
        <f>January!D13+February!D13+March!D13+April!D13+May!D13+June!D13+July!D13+August!D13+September!D13+October!D13+November!D13+December!D13</f>
        <v>-12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0.78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168</v>
      </c>
      <c r="C14" s="15">
        <f>January!C14+February!C14+March!C14+April!C14+May!C14+June!C14+July!C14+August!C14+September!C14+October!C14+November!C14+December!C14</f>
        <v>270</v>
      </c>
      <c r="D14" s="15">
        <f>January!D14+February!D14+March!D14+April!D14+May!D14+June!D14+July!D14+August!D14+September!D14+October!D14+November!D14+December!D14</f>
        <v>-102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0.62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55</v>
      </c>
      <c r="C15" s="19">
        <f>January!C15+February!C15+March!C15+April!C15+May!C15+June!C15+July!C15+August!C15+September!C15+October!C15+November!C15+December!C15</f>
        <v>160</v>
      </c>
      <c r="D15" s="19">
        <f>January!D15+February!D15+March!D15+April!D15+May!D15+June!D15+July!D15+August!D15+September!D15+October!D15+November!D15+December!D15</f>
        <v>-105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0.34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74</v>
      </c>
      <c r="C16" s="7">
        <f>January!C16+February!C16+March!C16+April!C16+May!C16+June!C16+July!C16+August!C16+September!C16+October!C16+November!C16+December!C16</f>
        <v>237</v>
      </c>
      <c r="D16" s="7">
        <f>January!D16+February!D16+March!D16+April!D16+May!D16+June!D16+July!D16+August!D16+September!D16+October!D16+November!D16+December!D16</f>
        <v>-163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0.31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694</v>
      </c>
      <c r="C17" s="11">
        <f>January!C17+February!C17+March!C17+April!C17+May!C17+June!C17+July!C17+August!C17+September!C17+October!C17+November!C17+December!C17</f>
        <v>435</v>
      </c>
      <c r="D17" s="11">
        <f>January!D17+February!D17+March!D17+April!D17+May!D17+June!D17+July!D17+August!D17+September!D17+October!D17+November!D17+December!D17</f>
        <v>259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1.6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89</v>
      </c>
      <c r="C18" s="7">
        <f>January!C18+February!C18+March!C18+April!C18+May!C18+June!C18+July!C18+August!C18+September!C18+October!C18+November!C18+December!C18</f>
        <v>94</v>
      </c>
      <c r="D18" s="7">
        <f>January!D18+February!D18+March!D18+April!D18+May!D18+June!D18+July!D18+August!D18+September!D18+October!D18+November!D18+December!D18</f>
        <v>-5</v>
      </c>
      <c r="E18" s="8" t="str">
        <f t="shared" si="0"/>
        <v/>
      </c>
      <c r="F18" s="8" t="str">
        <f t="shared" si="1"/>
        <v>We lent more than we borrowed this year</v>
      </c>
      <c r="G18" s="9" t="str">
        <f t="shared" si="2"/>
        <v>0.95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485</v>
      </c>
      <c r="C19" s="11">
        <f>January!C19+February!C19+March!C19+April!C19+May!C19+June!C19+July!C19+August!C19+September!C19+October!C19+November!C19+December!C19</f>
        <v>302</v>
      </c>
      <c r="D19" s="11">
        <f>January!D19+February!D19+March!D19+April!D19+May!D19+June!D19+July!D19+August!D19+September!D19+October!D19+November!D19+December!D19</f>
        <v>183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1.61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3</v>
      </c>
      <c r="C20" s="7">
        <f>January!C20+February!C20+March!C20+April!C20+May!C20+June!C20+July!C20+August!C20+September!C20+October!C20+November!C20+December!C20</f>
        <v>55</v>
      </c>
      <c r="D20" s="7">
        <f>January!D20+February!D20+March!D20+April!D20+May!D20+June!D20+July!D20+August!D20+September!D20+October!D20+November!D20+December!D20</f>
        <v>-52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0.05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501</v>
      </c>
      <c r="C21" s="11">
        <f>January!C21+February!C21+March!C21+April!C21+May!C21+June!C21+July!C21+August!C21+September!C21+October!C21+November!C21+December!C21</f>
        <v>474</v>
      </c>
      <c r="D21" s="11">
        <f>January!D21+February!D21+March!D21+April!D21+May!D21+June!D21+July!D21+August!D21+September!D21+October!D21+November!D21+December!D21</f>
        <v>27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1.06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90</v>
      </c>
      <c r="C22" s="7">
        <f>January!C22+February!C22+March!C22+April!C22+May!C22+June!C22+July!C22+August!C22+September!C22+October!C22+November!C22+December!C22</f>
        <v>225</v>
      </c>
      <c r="D22" s="7">
        <f>January!D22+February!D22+March!D22+April!D22+May!D22+June!D22+July!D22+August!D22+September!D22+October!D22+November!D22+December!D22</f>
        <v>-135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0.4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613</v>
      </c>
      <c r="C23" s="11">
        <f>January!C23+February!C23+March!C23+April!C23+May!C23+June!C23+July!C23+August!C23+September!C23+October!C23+November!C23+December!C23</f>
        <v>586</v>
      </c>
      <c r="D23" s="11">
        <f>January!D23+February!D23+March!D23+April!D23+May!D23+June!D23+July!D23+August!D23+September!D23+October!D23+November!D23+December!D23</f>
        <v>27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1.05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1809</v>
      </c>
      <c r="C24" s="7">
        <f>January!C24+February!C24+March!C24+April!C24+May!C24+June!C24+July!C24+August!C24+September!C24+October!C24+November!C24+December!C24</f>
        <v>1166</v>
      </c>
      <c r="D24" s="7">
        <f>January!D24+February!D24+March!D24+April!D24+May!D24+June!D24+July!D24+August!D24+September!D24+October!D24+November!D24+December!D24</f>
        <v>643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1.55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172</v>
      </c>
      <c r="C25" s="11">
        <f>January!C25+February!C25+March!C25+April!C25+May!C25+June!C25+July!C25+August!C25+September!C25+October!C25+November!C25+December!C25</f>
        <v>356</v>
      </c>
      <c r="D25" s="11">
        <f>January!D25+February!D25+March!D25+April!D25+May!D25+June!D25+July!D25+August!D25+September!D25+October!D25+November!D25+December!D25</f>
        <v>-184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0.48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231</v>
      </c>
      <c r="C27" s="11">
        <f>January!C27+February!C27+March!C27+April!C27+May!C27+June!C27+July!C27+August!C27+September!C27+October!C27+November!C27+December!C27</f>
        <v>146</v>
      </c>
      <c r="D27" s="11">
        <f>January!D27+February!D27+March!D27+April!D27+May!D27+June!D27+July!D27+August!D27+September!D27+October!D27+November!D27+December!D27</f>
        <v>85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1.58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132</v>
      </c>
      <c r="C28" s="7">
        <f>January!C28+February!C28+March!C28+April!C28+May!C28+June!C28+July!C28+August!C28+September!C28+October!C28+November!C28+December!C28</f>
        <v>120</v>
      </c>
      <c r="D28" s="7">
        <f>January!D28+February!D28+March!D28+April!D28+May!D28+June!D28+July!D28+August!D28+September!D28+October!D28+November!D28+December!D28</f>
        <v>12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1.1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891</v>
      </c>
      <c r="C29" s="11">
        <f>January!C29+February!C29+March!C29+April!C29+May!C29+June!C29+July!C29+August!C29+September!C29+October!C29+November!C29+December!C29</f>
        <v>550</v>
      </c>
      <c r="D29" s="11">
        <f>January!D29+February!D29+March!D29+April!D29+May!D29+June!D29+July!D29+August!D29+September!D29+October!D29+November!D29+December!D29</f>
        <v>341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1.62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24</v>
      </c>
      <c r="C30" s="7">
        <f>January!C30+February!C30+March!C30+April!C30+May!C30+June!C30+July!C30+August!C30+September!C30+October!C30+November!C30+December!C30</f>
        <v>29</v>
      </c>
      <c r="D30" s="7">
        <f>January!D30+February!D30+March!D30+April!D30+May!D30+June!D30+July!D30+August!D30+September!D30+October!D30+November!D30+December!D30</f>
        <v>-5</v>
      </c>
      <c r="E30" s="8" t="str">
        <f t="shared" si="0"/>
        <v/>
      </c>
      <c r="F30" s="8" t="str">
        <f t="shared" si="1"/>
        <v>We lent more than we borrowed this year</v>
      </c>
      <c r="G30" s="9" t="str">
        <f t="shared" si="2"/>
        <v>0.83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119</v>
      </c>
      <c r="C31" s="11">
        <f>January!C31+February!C31+March!C31+April!C31+May!C31+June!C31+July!C31+August!C31+September!C31+October!C31+November!C31+December!C31</f>
        <v>231</v>
      </c>
      <c r="D31" s="11">
        <f>January!D31+February!D31+March!D31+April!D31+May!D31+June!D31+July!D31+August!D31+September!D31+October!D31+November!D31+December!D31</f>
        <v>-112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0.52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521</v>
      </c>
      <c r="C32" s="7">
        <f>January!C32+February!C32+March!C32+April!C32+May!C32+June!C32+July!C32+August!C32+September!C32+October!C32+November!C32+December!C32</f>
        <v>520</v>
      </c>
      <c r="D32" s="7">
        <f>January!D32+February!D32+March!D32+April!D32+May!D32+June!D32+July!D32+August!D32+September!D32+October!D32+November!D32+December!D32</f>
        <v>1</v>
      </c>
      <c r="E32" s="8" t="str">
        <f t="shared" si="0"/>
        <v>We borrowed more than we lent this year</v>
      </c>
      <c r="F32" s="8" t="str">
        <f t="shared" si="1"/>
        <v/>
      </c>
      <c r="G32" s="9" t="str">
        <f t="shared" si="2"/>
        <v>1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373</v>
      </c>
      <c r="C33" s="11">
        <f>January!C33+February!C33+March!C33+April!C33+May!C33+June!C33+July!C33+August!C33+September!C33+October!C33+November!C33+December!C33</f>
        <v>407</v>
      </c>
      <c r="D33" s="11">
        <f>January!D33+February!D33+March!D33+April!D33+May!D33+June!D33+July!D33+August!D33+September!D33+October!D33+November!D33+December!D33</f>
        <v>-34</v>
      </c>
      <c r="E33" s="12" t="str">
        <f t="shared" si="0"/>
        <v/>
      </c>
      <c r="F33" s="12" t="str">
        <f t="shared" si="1"/>
        <v>We lent more than we borrowed this year</v>
      </c>
      <c r="G33" s="13" t="str">
        <f t="shared" si="2"/>
        <v>0.92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208</v>
      </c>
      <c r="C34" s="7">
        <f>January!C34+February!C34+March!C34+April!C34+May!C34+June!C34+July!C34+August!C34+September!C34+October!C34+November!C34+December!C34</f>
        <v>104</v>
      </c>
      <c r="D34" s="7">
        <f>January!D34+February!D34+March!D34+April!D34+May!D34+June!D34+July!D34+August!D34+September!D34+October!D34+November!D34+December!D34</f>
        <v>104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2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925</v>
      </c>
      <c r="C35" s="11">
        <f>January!C35+February!C35+March!C35+April!C35+May!C35+June!C35+July!C35+August!C35+September!C35+October!C35+November!C35+December!C35</f>
        <v>1641</v>
      </c>
      <c r="D35" s="11">
        <f>January!D35+February!D35+March!D35+April!D35+May!D35+June!D35+July!D35+August!D35+September!D35+October!D35+November!D35+December!D35</f>
        <v>-716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0.56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180</v>
      </c>
      <c r="C36" s="7">
        <f>January!C36+February!C36+March!C36+April!C36+May!C36+June!C36+July!C36+August!C36+September!C36+October!C36+November!C36+December!C36</f>
        <v>644</v>
      </c>
      <c r="D36" s="7">
        <f>January!D36+February!D36+March!D36+April!D36+May!D36+June!D36+July!D36+August!D36+September!D36+October!D36+November!D36+December!D36</f>
        <v>-464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0.28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493</v>
      </c>
      <c r="C37" s="11">
        <f>January!C37+February!C37+March!C37+April!C37+May!C37+June!C37+July!C37+August!C37+September!C37+October!C37+November!C37+December!C37</f>
        <v>460</v>
      </c>
      <c r="D37" s="11">
        <f>January!D37+February!D37+March!D37+April!D37+May!D37+June!D37+July!D37+August!D37+September!D37+October!D37+November!D37+December!D37</f>
        <v>33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1.07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19</v>
      </c>
      <c r="C38" s="7">
        <f>January!C38+February!C38+March!C38+April!C38+May!C38+June!C38+July!C38+August!C38+September!C38+October!C38+November!C38+December!C38</f>
        <v>219</v>
      </c>
      <c r="D38" s="7">
        <f>January!D38+February!D38+March!D38+April!D38+May!D38+June!D38+July!D38+August!D38+September!D38+October!D38+November!D38+December!D38</f>
        <v>-200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0.09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9</v>
      </c>
      <c r="C39" s="11">
        <f>January!C39+February!C39+March!C39+April!C39+May!C39+June!C39+July!C39+August!C39+September!C39+October!C39+November!C39+December!C39</f>
        <v>40</v>
      </c>
      <c r="D39" s="11">
        <f>January!D39+February!D39+March!D39+April!D39+May!D39+June!D39+July!D39+August!D39+September!D39+October!D39+November!D39+December!D39</f>
        <v>-31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0.23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87</v>
      </c>
      <c r="C40" s="23">
        <f>January!C40+February!C40+March!C40+April!C40+May!C40+June!C40+July!C40+August!C40+September!C40+October!C40+November!C40+December!C40</f>
        <v>96</v>
      </c>
      <c r="D40" s="23">
        <f>January!D40+February!D40+March!D40+April!D40+May!D40+June!D40+July!D40+August!D40+September!D40+October!D40+November!D40+December!D40</f>
        <v>-9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0.91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7</v>
      </c>
      <c r="C41" s="27">
        <f>January!C41+February!C41+March!C41+April!C41+May!C41+June!C41+July!C41+August!C41+September!C41+October!C41+November!C41+December!C41</f>
        <v>6</v>
      </c>
      <c r="D41" s="27">
        <f>January!D41+February!D41+March!D41+April!D41+May!D41+June!D41+July!D41+August!D41+September!D41+October!D41+November!D41+December!D41</f>
        <v>1</v>
      </c>
      <c r="E41" s="28" t="str">
        <f t="shared" si="0"/>
        <v>We borrowed more than we lent this year</v>
      </c>
      <c r="F41" s="28" t="str">
        <f t="shared" si="1"/>
        <v/>
      </c>
      <c r="G41" s="29" t="str">
        <f t="shared" si="2"/>
        <v>1.17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15</v>
      </c>
      <c r="C42" s="23">
        <f>January!C42+February!C42+March!C42+April!C42+May!C42+June!C42+July!C42+August!C42+September!C42+October!C42+November!C42+December!C42</f>
        <v>24</v>
      </c>
      <c r="D42" s="23">
        <f>January!D42+February!D42+March!D42+April!D42+May!D42+June!D42+July!D42+August!D42+September!D42+October!D42+November!D42+December!D42</f>
        <v>-9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0.63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240</v>
      </c>
      <c r="C43" s="27">
        <f>January!C43+February!C43+March!C43+April!C43+May!C43+June!C43+July!C43+August!C43+September!C43+October!C43+November!C43+December!C43</f>
        <v>105</v>
      </c>
      <c r="D43" s="27">
        <f>January!D43+February!D43+March!D43+April!D43+May!D43+June!D43+July!D43+August!D43+September!D43+October!D43+November!D43+December!D43</f>
        <v>135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2.29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63</v>
      </c>
      <c r="C44" s="7">
        <f>January!C44+February!C44+March!C44+April!C44+May!C44+June!C44+July!C44+August!C44+September!C44+October!C44+November!C44+December!C44</f>
        <v>155</v>
      </c>
      <c r="D44" s="7">
        <f>January!D44+February!D44+March!D44+April!D44+May!D44+June!D44+July!D44+August!D44+September!D44+October!D44+November!D44+December!D44</f>
        <v>-92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0.41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598</v>
      </c>
      <c r="C45" s="11">
        <f>January!C45+February!C45+March!C45+April!C45+May!C45+June!C45+July!C45+August!C45+September!C45+October!C45+November!C45+December!C45</f>
        <v>543</v>
      </c>
      <c r="D45" s="11">
        <f>January!D45+February!D45+March!D45+April!D45+May!D45+June!D45+July!D45+August!D45+September!D45+October!D45+November!D45+December!D45</f>
        <v>55</v>
      </c>
      <c r="E45" s="12" t="str">
        <f t="shared" si="0"/>
        <v>We borrowed more than we lent this year</v>
      </c>
      <c r="F45" s="12" t="str">
        <f t="shared" si="1"/>
        <v/>
      </c>
      <c r="G45" s="13" t="str">
        <f t="shared" si="2"/>
        <v>1.1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1116</v>
      </c>
      <c r="C46" s="7">
        <f>January!C46+February!C46+March!C46+April!C46+May!C46+June!C46+July!C46+August!C46+September!C46+October!C46+November!C46+December!C46</f>
        <v>809</v>
      </c>
      <c r="D46" s="7">
        <f>January!D46+February!D46+March!D46+April!D46+May!D46+June!D46+July!D46+August!D46+September!D46+October!D46+November!D46+December!D46</f>
        <v>307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1.38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208</v>
      </c>
      <c r="C47" s="11">
        <f>January!C47+February!C47+March!C47+April!C47+May!C47+June!C47+July!C47+August!C47+September!C47+October!C47+November!C47+December!C47</f>
        <v>670</v>
      </c>
      <c r="D47" s="11">
        <f>January!D47+February!D47+March!D47+April!D47+May!D47+June!D47+July!D47+August!D47+September!D47+October!D47+November!D47+December!D47</f>
        <v>-462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0.31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416</v>
      </c>
      <c r="C48" s="7">
        <f>January!C48+February!C48+March!C48+April!C48+May!C48+June!C48+July!C48+August!C48+September!C48+October!C48+November!C48+December!C48</f>
        <v>324</v>
      </c>
      <c r="D48" s="7">
        <f>January!D48+February!D48+March!D48+April!D48+May!D48+June!D48+July!D48+August!D48+September!D48+October!D48+November!D48+December!D48</f>
        <v>92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1.28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873</v>
      </c>
      <c r="C49" s="11">
        <f>January!C49+February!C49+March!C49+April!C49+May!C49+June!C49+July!C49+August!C49+September!C49+October!C49+November!C49+December!C49</f>
        <v>533</v>
      </c>
      <c r="D49" s="11">
        <f>January!D49+February!D49+March!D49+April!D49+May!D49+June!D49+July!D49+August!D49+September!D49+October!D49+November!D49+December!D49</f>
        <v>340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1.64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134</v>
      </c>
      <c r="C50" s="7">
        <f>January!C50+February!C50+March!C50+April!C50+May!C50+June!C50+July!C50+August!C50+September!C50+October!C50+November!C50+December!C50</f>
        <v>166</v>
      </c>
      <c r="D50" s="7">
        <f>January!D50+February!D50+March!D50+April!D50+May!D50+June!D50+July!D50+August!D50+September!D50+October!D50+November!D50+December!D50</f>
        <v>-32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0.81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695</v>
      </c>
      <c r="C51" s="11">
        <f>January!C51+February!C51+March!C51+April!C51+May!C51+June!C51+July!C51+August!C51+September!C51+October!C51+November!C51+December!C51</f>
        <v>355</v>
      </c>
      <c r="D51" s="11">
        <f>January!D51+February!D51+March!D51+April!D51+May!D51+June!D51+July!D51+August!D51+September!D51+October!D51+November!D51+December!D51</f>
        <v>340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1.96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64</v>
      </c>
      <c r="C52" s="7">
        <f>January!C52+February!C52+March!C52+April!C52+May!C52+June!C52+July!C52+August!C52+September!C52+October!C52+November!C52+December!C52</f>
        <v>236</v>
      </c>
      <c r="D52" s="7">
        <f>January!D52+February!D52+March!D52+April!D52+May!D52+June!D52+July!D52+August!D52+September!D52+October!D52+November!D52+December!D52</f>
        <v>-172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0.27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29</v>
      </c>
      <c r="C53" s="11">
        <f>January!C53+February!C53+March!C53+April!C53+May!C53+June!C53+July!C53+August!C53+September!C53+October!C53+November!C53+December!C53</f>
        <v>294</v>
      </c>
      <c r="D53" s="11">
        <f>January!D53+February!D53+March!D53+April!D53+May!D53+June!D53+July!D53+August!D53+September!D53+October!D53+November!D53+December!D53</f>
        <v>-265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318</v>
      </c>
      <c r="C54" s="31">
        <f>January!C54+February!C54+March!C54+April!C54+May!C54+June!C54+July!C54+August!C54+September!C54+October!C54+November!C54+December!C54</f>
        <v>219</v>
      </c>
      <c r="D54" s="31">
        <f>January!D54+February!D54+March!D54+April!D54+May!D54+June!D54+July!D54+August!D54+September!D54+October!D54+November!D54+December!D54</f>
        <v>99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1.45 : 1</v>
      </c>
    </row>
  </sheetData>
  <autoFilter ref="A1:G54"/>
  <conditionalFormatting sqref="F2:F37 F40:F54">
    <cfRule type="containsText" dxfId="6" priority="7" operator="containsText" text="We lent more than we borrowed">
      <formula>NOT(ISERROR(SEARCH("We lent more than we borrowed",F2)))</formula>
    </cfRule>
  </conditionalFormatting>
  <conditionalFormatting sqref="F38">
    <cfRule type="containsText" dxfId="4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2026-02-06T20:15:15Z</dcterms:modified>
</cp:coreProperties>
</file>